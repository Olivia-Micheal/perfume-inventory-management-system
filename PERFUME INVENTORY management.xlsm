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8.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FB35CC70-71EC-45B9-8D50-B4AE5E4BBABC}" xr6:coauthVersionLast="47" xr6:coauthVersionMax="47" xr10:uidLastSave="{00000000-0000-0000-0000-000000000000}"/>
  <bookViews>
    <workbookView xWindow="-110" yWindow="-110" windowWidth="19420" windowHeight="10300" activeTab="2" xr2:uid="{5452A0FB-5CE3-42C2-9155-F88C63F88F08}"/>
  </bookViews>
  <sheets>
    <sheet name="Dashboard" sheetId="1" r:id="rId1"/>
    <sheet name="Entry Form" sheetId="2" r:id="rId2"/>
    <sheet name="Products" sheetId="3" r:id="rId3"/>
    <sheet name="Purchases" sheetId="5" r:id="rId4"/>
    <sheet name="Sales" sheetId="4" r:id="rId5"/>
    <sheet name="Inventory" sheetId="6" r:id="rId6"/>
    <sheet name="Customers" sheetId="7" r:id="rId7"/>
    <sheet name="Vendors" sheetId="8" r:id="rId8"/>
    <sheet name="pivottable" sheetId="9" r:id="rId9"/>
    <sheet name="Helper Sheet" sheetId="10" r:id="rId10"/>
  </sheets>
  <definedNames>
    <definedName name="_xlcn.WorksheetConnection_PERFUMEINVENTORY2COPY.xlsmTable11" hidden="1">Table1[]</definedName>
    <definedName name="_xlcn.WorksheetConnection_PERFUMEINVENTORY2COPY.xlsmTable21" hidden="1">Table2[]</definedName>
    <definedName name="_xlcn.WorksheetConnection_PERFUMEINVENTORY2COPY.xlsmTable31" hidden="1">Table3[]</definedName>
    <definedName name="_xlcn.WorksheetConnection_PERFUMEINVENTORY2COPY.xlsmTable41" hidden="1">Table4[]</definedName>
    <definedName name="Slicer_Brand">#N/A</definedName>
    <definedName name="Slicer_Catergory">#N/A</definedName>
    <definedName name="Timeline_Date">#N/A</definedName>
  </definedNames>
  <calcPr calcId="191029"/>
  <pivotCaches>
    <pivotCache cacheId="20" r:id="rId11"/>
    <pivotCache cacheId="23" r:id="rId12"/>
    <pivotCache cacheId="26" r:id="rId13"/>
    <pivotCache cacheId="29" r:id="rId14"/>
    <pivotCache cacheId="32" r:id="rId15"/>
    <pivotCache cacheId="35" r:id="rId16"/>
    <pivotCache cacheId="38" r:id="rId17"/>
    <pivotCache cacheId="41" r:id="rId18"/>
    <pivotCache cacheId="44" r:id="rId19"/>
    <pivotCache cacheId="47" r:id="rId20"/>
    <pivotCache cacheId="50" r:id="rId21"/>
    <pivotCache cacheId="53" r:id="rId22"/>
    <pivotCache cacheId="56" r:id="rId23"/>
    <pivotCache cacheId="59" r:id="rId24"/>
    <pivotCache cacheId="62" r:id="rId25"/>
    <pivotCache cacheId="65" r:id="rId26"/>
  </pivotCaches>
  <extLst>
    <ext xmlns:x14="http://schemas.microsoft.com/office/spreadsheetml/2009/9/main" uri="{876F7934-8845-4945-9796-88D515C7AA90}">
      <x14:pivotCaches>
        <pivotCache cacheId="16" r:id="rId27"/>
      </x14:pivotCaches>
    </ext>
    <ext xmlns:x14="http://schemas.microsoft.com/office/spreadsheetml/2009/9/main" uri="{BBE1A952-AA13-448e-AADC-164F8A28A991}">
      <x14:slicerCaches>
        <x14:slicerCache r:id="rId28"/>
        <x14:slicerCache r:id="rId2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7" r:id="rId30"/>
      </x15:timelineCachePivotCaches>
    </ext>
    <ext xmlns:x15="http://schemas.microsoft.com/office/spreadsheetml/2010/11/main" uri="{D0CA8CA8-9F24-4464-BF8E-62219DCF47F9}">
      <x15:timelineCacheRefs>
        <x15:timelineCacheRef r:id="rId3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Sales-table" connection="WorksheetConnection_PERFUME INVENTORY 2 COPY.xlsm!Table4"/>
          <x15:modelTable id="Table3" name="Purchase-table" connection="WorksheetConnection_PERFUME INVENTORY 2 COPY.xlsm!Table3"/>
          <x15:modelTable id="Table2" name="Inventory-table" connection="WorksheetConnection_PERFUME INVENTORY 2 COPY.xlsm!Table2"/>
          <x15:modelTable id="Table1" name="Product-table" connection="WorksheetConnection_PERFUME INVENTORY 2 COPY.xlsm!Table1"/>
        </x15:modelTables>
        <x15:modelRelationships>
          <x15:modelRelationship fromTable="Product-table" fromColumn="Product ID" toTable="Inventory-table" toColumn="Product ID"/>
          <x15:modelRelationship fromTable="Purchase-table" fromColumn="Product ID" toTable="Product-table" toColumn="Product ID"/>
          <x15:modelRelationship fromTable="Sales-table" fromColumn="Product ID" toTable="Product-table" toColumn="Product ID"/>
        </x15:modelRelationships>
        <x15:extLst>
          <ext xmlns:x16="http://schemas.microsoft.com/office/spreadsheetml/2014/11/main" uri="{9835A34E-60A6-4A7C-AAB8-D5F71C897F49}">
            <x16:modelTimeGroupings>
              <x16:modelTimeGrouping tableName="Sales-table" columnName="Date" columnId="Date">
                <x16:calculatedTimeColumn columnName="Date (Year)" columnId="Date (Year)" contentType="years" isSelected="0"/>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 i="3" l="1" a="1"/>
  <c r="M10" i="3" s="1"/>
  <c r="M11" i="3" a="1"/>
  <c r="M11" i="3" s="1"/>
  <c r="M9" i="3" a="1"/>
  <c r="M9" i="3" s="1"/>
  <c r="M5" i="3" a="1"/>
  <c r="M5" i="3" s="1"/>
  <c r="F17" i="10" a="1"/>
  <c r="F17" i="10" s="1"/>
  <c r="D17" i="10" a="1"/>
  <c r="D17" i="10" s="1"/>
  <c r="F2" i="10" a="1"/>
  <c r="F2" i="10" s="1"/>
  <c r="D2" i="10" a="1"/>
  <c r="D2" i="10" s="1"/>
  <c r="A17" i="10" a="1"/>
  <c r="A17" i="10" s="1"/>
  <c r="A2" i="10" a="1"/>
  <c r="A2" i="10" s="1"/>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5" i="6"/>
  <c r="K10" i="2" a="1"/>
  <c r="K10" i="2" s="1"/>
  <c r="K11" i="2" s="1" a="1"/>
  <c r="K11" i="2" s="1"/>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H5" i="6"/>
  <c r="G5" i="6"/>
  <c r="F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5" i="6"/>
  <c r="B21" i="9"/>
  <c r="B6" i="9"/>
  <c r="B9" i="9"/>
  <c r="B12" i="9"/>
  <c r="B18" i="9"/>
  <c r="B24" i="9"/>
  <c r="B15" i="9"/>
  <c r="B3" i="9"/>
  <c r="L60" i="6" l="1"/>
  <c r="L52" i="6"/>
  <c r="L44" i="6"/>
  <c r="L36" i="6"/>
  <c r="L28" i="6"/>
  <c r="L20" i="6"/>
  <c r="L12" i="6"/>
  <c r="L58" i="6"/>
  <c r="L50" i="6"/>
  <c r="L42" i="6"/>
  <c r="L34" i="6"/>
  <c r="L26" i="6"/>
  <c r="L18" i="6"/>
  <c r="L10" i="6"/>
  <c r="L59" i="6"/>
  <c r="L51" i="6"/>
  <c r="L43" i="6"/>
  <c r="L35" i="6"/>
  <c r="L27" i="6"/>
  <c r="L19" i="6"/>
  <c r="L11" i="6"/>
  <c r="L65" i="6"/>
  <c r="L57" i="6"/>
  <c r="L49" i="6"/>
  <c r="L41" i="6"/>
  <c r="L33" i="6"/>
  <c r="L25" i="6"/>
  <c r="L17" i="6"/>
  <c r="L9" i="6"/>
  <c r="L64" i="6"/>
  <c r="L56" i="6"/>
  <c r="L48" i="6"/>
  <c r="L40" i="6"/>
  <c r="L32" i="6"/>
  <c r="L24" i="6"/>
  <c r="L16" i="6"/>
  <c r="L8" i="6"/>
  <c r="L63" i="6"/>
  <c r="L55" i="6"/>
  <c r="L47" i="6"/>
  <c r="L39" i="6"/>
  <c r="L31" i="6"/>
  <c r="L23" i="6"/>
  <c r="L15" i="6"/>
  <c r="L7" i="6"/>
  <c r="L62" i="6"/>
  <c r="L54" i="6"/>
  <c r="L46" i="6"/>
  <c r="L38" i="6"/>
  <c r="L30" i="6"/>
  <c r="L22" i="6"/>
  <c r="L14" i="6"/>
  <c r="L6" i="6"/>
  <c r="L61" i="6"/>
  <c r="L53" i="6"/>
  <c r="L45" i="6"/>
  <c r="L37" i="6"/>
  <c r="L29" i="6"/>
  <c r="L21" i="6"/>
  <c r="L13" i="6"/>
  <c r="L5" i="6"/>
  <c r="AF15" i="2"/>
  <c r="AC15" i="2"/>
  <c r="AB15" i="2"/>
  <c r="Y15" i="2"/>
  <c r="X15" i="2"/>
  <c r="W15" i="2"/>
  <c r="V15" i="2"/>
  <c r="E14" i="2" a="1"/>
  <c r="E14" i="2" s="1"/>
  <c r="E15" i="2" s="1"/>
  <c r="K14" i="2" a="1"/>
  <c r="K14" i="2" s="1"/>
  <c r="AD15" i="2" s="1"/>
  <c r="AA15" i="2"/>
  <c r="E10" i="2" a="1"/>
  <c r="E10" i="2" s="1"/>
  <c r="E11" i="2" s="1" a="1"/>
  <c r="E11" i="2" s="1"/>
  <c r="Z15" i="2"/>
  <c r="D38" i="2"/>
  <c r="O38" i="2"/>
  <c r="K38" i="2"/>
  <c r="J38" i="2"/>
  <c r="G38" i="2"/>
  <c r="F38" i="2"/>
  <c r="E38" i="2"/>
  <c r="M52" i="6" l="1"/>
  <c r="M16" i="6"/>
  <c r="M36" i="6"/>
  <c r="M60" i="6"/>
  <c r="M12" i="6"/>
  <c r="M44" i="6"/>
  <c r="M42" i="6"/>
  <c r="M46" i="6"/>
  <c r="M49" i="6"/>
  <c r="M51" i="6"/>
  <c r="M58" i="6"/>
  <c r="M20" i="6"/>
  <c r="M54" i="6"/>
  <c r="M57" i="6"/>
  <c r="M59" i="6"/>
  <c r="M62" i="6"/>
  <c r="M65" i="6"/>
  <c r="M10" i="6"/>
  <c r="M9" i="6"/>
  <c r="M18" i="6"/>
  <c r="M28" i="6"/>
  <c r="M13" i="6"/>
  <c r="M14" i="6"/>
  <c r="M15" i="6"/>
  <c r="M17" i="6"/>
  <c r="M19" i="6"/>
  <c r="M26" i="6"/>
  <c r="M21" i="6"/>
  <c r="M22" i="6"/>
  <c r="M25" i="6"/>
  <c r="M27" i="6"/>
  <c r="M34" i="6"/>
  <c r="M30" i="6"/>
  <c r="M33" i="6"/>
  <c r="M35" i="6"/>
  <c r="M38" i="6"/>
  <c r="M41" i="6"/>
  <c r="M43" i="6"/>
  <c r="M50" i="6"/>
  <c r="M64" i="6"/>
  <c r="M56" i="6"/>
  <c r="M48" i="6"/>
  <c r="M32" i="6"/>
  <c r="M24" i="6"/>
  <c r="M40" i="6"/>
  <c r="M11" i="6"/>
  <c r="M61" i="6"/>
  <c r="M53" i="6"/>
  <c r="M45" i="6"/>
  <c r="M37" i="6"/>
  <c r="M29" i="6"/>
  <c r="M63" i="6"/>
  <c r="M55" i="6"/>
  <c r="M47" i="6"/>
  <c r="M39" i="6"/>
  <c r="M31" i="6"/>
  <c r="M23" i="6"/>
  <c r="M5" i="6"/>
  <c r="M7" i="6"/>
  <c r="M8" i="6"/>
  <c r="M6" i="6"/>
  <c r="N38" i="2"/>
  <c r="K15" i="2" l="1"/>
  <c r="AE15" i="2" s="1"/>
  <c r="H38" i="2"/>
  <c r="I38" i="2"/>
  <c r="L38" i="2"/>
  <c r="M2" i="10" a="1"/>
  <c r="M2" i="10" s="1"/>
  <c r="K2" i="10" a="1"/>
  <c r="K2" i="10" s="1"/>
  <c r="I2" i="10" a="1"/>
  <c r="I2" i="10" s="1"/>
  <c r="M38"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526600E-92F7-4DF5-837C-BE0369407529}"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C6CC1350-54AC-4A44-A361-6EDBEAF76F7F}" name="WorksheetConnection_PERFUME INVENTORY 2 COPY.xlsm!Table1" type="102" refreshedVersion="7" minRefreshableVersion="5">
    <extLst>
      <ext xmlns:x15="http://schemas.microsoft.com/office/spreadsheetml/2010/11/main" uri="{DE250136-89BD-433C-8126-D09CA5730AF9}">
        <x15:connection id="Table1">
          <x15:rangePr sourceName="_xlcn.WorksheetConnection_PERFUMEINVENTORY2COPY.xlsmTable11"/>
        </x15:connection>
      </ext>
    </extLst>
  </connection>
  <connection id="3" xr16:uid="{53491B90-29FB-4FFE-9479-15C5FC84FB2C}" name="WorksheetConnection_PERFUME INVENTORY 2 COPY.xlsm!Table2" type="102" refreshedVersion="7" minRefreshableVersion="5">
    <extLst>
      <ext xmlns:x15="http://schemas.microsoft.com/office/spreadsheetml/2010/11/main" uri="{DE250136-89BD-433C-8126-D09CA5730AF9}">
        <x15:connection id="Table2">
          <x15:rangePr sourceName="_xlcn.WorksheetConnection_PERFUMEINVENTORY2COPY.xlsmTable21"/>
        </x15:connection>
      </ext>
    </extLst>
  </connection>
  <connection id="4" xr16:uid="{A0B407E6-D56B-450D-B80C-C6A4F01B9C3C}" name="WorksheetConnection_PERFUME INVENTORY 2 COPY.xlsm!Table3" type="102" refreshedVersion="7" minRefreshableVersion="5">
    <extLst>
      <ext xmlns:x15="http://schemas.microsoft.com/office/spreadsheetml/2010/11/main" uri="{DE250136-89BD-433C-8126-D09CA5730AF9}">
        <x15:connection id="Table3">
          <x15:rangePr sourceName="_xlcn.WorksheetConnection_PERFUMEINVENTORY2COPY.xlsmTable31"/>
        </x15:connection>
      </ext>
    </extLst>
  </connection>
  <connection id="5" xr16:uid="{5992CD99-6DF1-4B52-AF2D-F6D66B6EB4F5}" name="WorksheetConnection_PERFUME INVENTORY 2 COPY.xlsm!Table4" type="102" refreshedVersion="7" minRefreshableVersion="5">
    <extLst>
      <ext xmlns:x15="http://schemas.microsoft.com/office/spreadsheetml/2010/11/main" uri="{DE250136-89BD-433C-8126-D09CA5730AF9}">
        <x15:connection id="Table4">
          <x15:rangePr sourceName="_xlcn.WorksheetConnection_PERFUMEINVENTORY2COPY.xlsmTable4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<sst xmlns="http://schemas.openxmlformats.org/spreadsheetml/2006/main" count="1047" uniqueCount="297">
  <si>
    <t>Product Name</t>
  </si>
  <si>
    <t>Brand</t>
  </si>
  <si>
    <t>Size_ml</t>
  </si>
  <si>
    <t>Costprice</t>
  </si>
  <si>
    <t>Selling Price</t>
  </si>
  <si>
    <t>Date</t>
  </si>
  <si>
    <t>Product ID</t>
  </si>
  <si>
    <t>Unit Price</t>
  </si>
  <si>
    <t>Total Amount</t>
  </si>
  <si>
    <t>Category</t>
  </si>
  <si>
    <t>Size</t>
  </si>
  <si>
    <t>Cust_Name</t>
  </si>
  <si>
    <t>Qty</t>
  </si>
  <si>
    <t>Sales Channel</t>
  </si>
  <si>
    <t>Vendor Name</t>
  </si>
  <si>
    <t>Unit cost</t>
  </si>
  <si>
    <t>Total Cost</t>
  </si>
  <si>
    <t>Total Purchased</t>
  </si>
  <si>
    <t>Total Sold</t>
  </si>
  <si>
    <t>Current Stock</t>
  </si>
  <si>
    <t>Stock Status</t>
  </si>
  <si>
    <t>Phone NO</t>
  </si>
  <si>
    <t>Address</t>
  </si>
  <si>
    <t>Customer name</t>
  </si>
  <si>
    <t>Phone Number</t>
  </si>
  <si>
    <t>Pr001</t>
  </si>
  <si>
    <t>Pr003</t>
  </si>
  <si>
    <t>Pr004</t>
  </si>
  <si>
    <t>Pr006</t>
  </si>
  <si>
    <t>Pr007</t>
  </si>
  <si>
    <t>Pr008</t>
  </si>
  <si>
    <t>Pr010</t>
  </si>
  <si>
    <t>Confetti London</t>
  </si>
  <si>
    <t>Joy</t>
  </si>
  <si>
    <t>dear</t>
  </si>
  <si>
    <t>nude</t>
  </si>
  <si>
    <t>coral</t>
  </si>
  <si>
    <t>live</t>
  </si>
  <si>
    <t>you</t>
  </si>
  <si>
    <t>wish</t>
  </si>
  <si>
    <t>maple</t>
  </si>
  <si>
    <t>Body Spray</t>
  </si>
  <si>
    <t>250ml</t>
  </si>
  <si>
    <t>No.02</t>
  </si>
  <si>
    <t>No.06</t>
  </si>
  <si>
    <t>No.94</t>
  </si>
  <si>
    <t>No.332</t>
  </si>
  <si>
    <t>No.313</t>
  </si>
  <si>
    <t>No.359</t>
  </si>
  <si>
    <t>Smart Collection</t>
  </si>
  <si>
    <t>150ml</t>
  </si>
  <si>
    <t>Pr014</t>
  </si>
  <si>
    <t>Patrol</t>
  </si>
  <si>
    <t>Power</t>
  </si>
  <si>
    <t>Only</t>
  </si>
  <si>
    <t>Dynamo</t>
  </si>
  <si>
    <t>Voyage</t>
  </si>
  <si>
    <t>Riggs</t>
  </si>
  <si>
    <t>Pr015</t>
  </si>
  <si>
    <t>Pr016</t>
  </si>
  <si>
    <t>Pr018</t>
  </si>
  <si>
    <t>Pr019</t>
  </si>
  <si>
    <t>vanilla</t>
  </si>
  <si>
    <t>candy</t>
  </si>
  <si>
    <t>citrus</t>
  </si>
  <si>
    <t>apple</t>
  </si>
  <si>
    <t>Dear body</t>
  </si>
  <si>
    <t>Pr020</t>
  </si>
  <si>
    <t>Pr022</t>
  </si>
  <si>
    <t>Pr023</t>
  </si>
  <si>
    <t>No.814</t>
  </si>
  <si>
    <t>No.816</t>
  </si>
  <si>
    <t>No.818</t>
  </si>
  <si>
    <t>No.845</t>
  </si>
  <si>
    <t>No.813</t>
  </si>
  <si>
    <t>Perfume</t>
  </si>
  <si>
    <t>100ml</t>
  </si>
  <si>
    <t>Pr024</t>
  </si>
  <si>
    <t>Pr025</t>
  </si>
  <si>
    <t>Pr028</t>
  </si>
  <si>
    <t>My her</t>
  </si>
  <si>
    <t>I'm king</t>
  </si>
  <si>
    <t>magic</t>
  </si>
  <si>
    <t>fire night</t>
  </si>
  <si>
    <t>Fragrance Deluxe</t>
  </si>
  <si>
    <t>Pr029</t>
  </si>
  <si>
    <t>Pr030</t>
  </si>
  <si>
    <t>Pr031</t>
  </si>
  <si>
    <t>white</t>
  </si>
  <si>
    <t>homme</t>
  </si>
  <si>
    <t>rouge</t>
  </si>
  <si>
    <t>oud</t>
  </si>
  <si>
    <t>pure pink</t>
  </si>
  <si>
    <t>24k</t>
  </si>
  <si>
    <t>Pr033</t>
  </si>
  <si>
    <t>Pr034</t>
  </si>
  <si>
    <t>Pr035</t>
  </si>
  <si>
    <t>Pr037</t>
  </si>
  <si>
    <t>Vainilla</t>
  </si>
  <si>
    <t>Melon</t>
  </si>
  <si>
    <t>Mora</t>
  </si>
  <si>
    <t>Coco</t>
  </si>
  <si>
    <t>Be tres</t>
  </si>
  <si>
    <t>Body mist</t>
  </si>
  <si>
    <t>Pr039</t>
  </si>
  <si>
    <t>Bare kiss</t>
  </si>
  <si>
    <t>Dear</t>
  </si>
  <si>
    <t>joy</t>
  </si>
  <si>
    <t>236ml</t>
  </si>
  <si>
    <t>Pr042</t>
  </si>
  <si>
    <t>Pr043</t>
  </si>
  <si>
    <t>Pr044</t>
  </si>
  <si>
    <t>Pr045</t>
  </si>
  <si>
    <t>love spell</t>
  </si>
  <si>
    <t>Bare vanilla</t>
  </si>
  <si>
    <t>French coffe</t>
  </si>
  <si>
    <t>Pendora Scent</t>
  </si>
  <si>
    <t>Pr046</t>
  </si>
  <si>
    <t>Pr048</t>
  </si>
  <si>
    <t>Victoria secret</t>
  </si>
  <si>
    <t>Pure seduction</t>
  </si>
  <si>
    <t>dream petals</t>
  </si>
  <si>
    <t>bare vanilla</t>
  </si>
  <si>
    <t>200ml</t>
  </si>
  <si>
    <t>Pr049</t>
  </si>
  <si>
    <t>Pr051</t>
  </si>
  <si>
    <t>Apple x white</t>
  </si>
  <si>
    <t>Pear x aloevera</t>
  </si>
  <si>
    <t>cucumber x greentea</t>
  </si>
  <si>
    <t>Dove</t>
  </si>
  <si>
    <t>Antiperspirant</t>
  </si>
  <si>
    <t>Cosmo</t>
  </si>
  <si>
    <t>Aura</t>
  </si>
  <si>
    <t>Energy</t>
  </si>
  <si>
    <t>Sensitive</t>
  </si>
  <si>
    <t>50ml</t>
  </si>
  <si>
    <t>Pr053</t>
  </si>
  <si>
    <t>Pr054</t>
  </si>
  <si>
    <t>Pr055</t>
  </si>
  <si>
    <t>Pr056</t>
  </si>
  <si>
    <t>Pr057</t>
  </si>
  <si>
    <t>Deodorant</t>
  </si>
  <si>
    <t>Nivea</t>
  </si>
  <si>
    <t>Dry comfort</t>
  </si>
  <si>
    <t>Dry impact</t>
  </si>
  <si>
    <t>Fresh Active</t>
  </si>
  <si>
    <t>Pr058</t>
  </si>
  <si>
    <t>category list</t>
  </si>
  <si>
    <t>brand</t>
  </si>
  <si>
    <t>product name</t>
  </si>
  <si>
    <t>Pr061</t>
  </si>
  <si>
    <t>yellow</t>
  </si>
  <si>
    <t>Touch</t>
  </si>
  <si>
    <t>oil perfume</t>
  </si>
  <si>
    <t>10ml</t>
  </si>
  <si>
    <t>Purchase Form</t>
  </si>
  <si>
    <t>category list 2</t>
  </si>
  <si>
    <t>mrs ada</t>
  </si>
  <si>
    <t>Sales ID</t>
  </si>
  <si>
    <t>Tik tok</t>
  </si>
  <si>
    <t>Entry time</t>
  </si>
  <si>
    <t>Entry Time</t>
  </si>
  <si>
    <t>Purchase hidden rows</t>
  </si>
  <si>
    <t>john</t>
  </si>
  <si>
    <t xml:space="preserve">  Sales Entry</t>
  </si>
  <si>
    <t>jonh</t>
  </si>
  <si>
    <t>Ada</t>
  </si>
  <si>
    <t>paul</t>
  </si>
  <si>
    <t>Olivia</t>
  </si>
  <si>
    <t>chris</t>
  </si>
  <si>
    <t>chidi</t>
  </si>
  <si>
    <t>Mary</t>
  </si>
  <si>
    <t>uzo</t>
  </si>
  <si>
    <t>James</t>
  </si>
  <si>
    <t>Rita</t>
  </si>
  <si>
    <t>Rose</t>
  </si>
  <si>
    <t>Offline</t>
  </si>
  <si>
    <t>Facebook</t>
  </si>
  <si>
    <t>oluchi</t>
  </si>
  <si>
    <t>rita</t>
  </si>
  <si>
    <t>tobi</t>
  </si>
  <si>
    <t>Whatsapp</t>
  </si>
  <si>
    <t>leo</t>
  </si>
  <si>
    <t>chi</t>
  </si>
  <si>
    <t>ifuu</t>
  </si>
  <si>
    <t>ugo</t>
  </si>
  <si>
    <t>Instagram</t>
  </si>
  <si>
    <t>dara</t>
  </si>
  <si>
    <t>Amaka</t>
  </si>
  <si>
    <t>ada</t>
  </si>
  <si>
    <t>PR001</t>
  </si>
  <si>
    <t>PR002</t>
  </si>
  <si>
    <t>PR003</t>
  </si>
  <si>
    <t>PR004</t>
  </si>
  <si>
    <t>PR005</t>
  </si>
  <si>
    <t>PR006</t>
  </si>
  <si>
    <t>PR007</t>
  </si>
  <si>
    <t>PR008</t>
  </si>
  <si>
    <t>PR009</t>
  </si>
  <si>
    <t>PR010</t>
  </si>
  <si>
    <t>PR011</t>
  </si>
  <si>
    <t>PR012</t>
  </si>
  <si>
    <t>PR013</t>
  </si>
  <si>
    <t>PR014</t>
  </si>
  <si>
    <t>PR015</t>
  </si>
  <si>
    <t>PR016</t>
  </si>
  <si>
    <t>PR017</t>
  </si>
  <si>
    <t>PR018</t>
  </si>
  <si>
    <t>PR019</t>
  </si>
  <si>
    <t>PR020</t>
  </si>
  <si>
    <t>PR021</t>
  </si>
  <si>
    <t>PR022</t>
  </si>
  <si>
    <t>PR023</t>
  </si>
  <si>
    <t>PR024</t>
  </si>
  <si>
    <t>PR025</t>
  </si>
  <si>
    <t>PR026</t>
  </si>
  <si>
    <t>PR027</t>
  </si>
  <si>
    <t>PR028</t>
  </si>
  <si>
    <t>PR029</t>
  </si>
  <si>
    <t>PR030</t>
  </si>
  <si>
    <t>PR031</t>
  </si>
  <si>
    <t>PR032</t>
  </si>
  <si>
    <t>PR033</t>
  </si>
  <si>
    <t>PR034</t>
  </si>
  <si>
    <t>PR035</t>
  </si>
  <si>
    <t>PR036</t>
  </si>
  <si>
    <t>PR037</t>
  </si>
  <si>
    <t>PR038</t>
  </si>
  <si>
    <t>PR039</t>
  </si>
  <si>
    <t>PR040</t>
  </si>
  <si>
    <t>PR041</t>
  </si>
  <si>
    <t>PR042</t>
  </si>
  <si>
    <t>PR043</t>
  </si>
  <si>
    <t>PR044</t>
  </si>
  <si>
    <t>PR045</t>
  </si>
  <si>
    <t>PR046</t>
  </si>
  <si>
    <t>PR047</t>
  </si>
  <si>
    <t>PR048</t>
  </si>
  <si>
    <t>PR049</t>
  </si>
  <si>
    <t>PR050</t>
  </si>
  <si>
    <t>PR051</t>
  </si>
  <si>
    <t>PR052</t>
  </si>
  <si>
    <t>PR053</t>
  </si>
  <si>
    <t>PR054</t>
  </si>
  <si>
    <t>PR055</t>
  </si>
  <si>
    <t>PR056</t>
  </si>
  <si>
    <t>PR057</t>
  </si>
  <si>
    <t>PR058</t>
  </si>
  <si>
    <t>PR059</t>
  </si>
  <si>
    <t>PR060</t>
  </si>
  <si>
    <t>PR061</t>
  </si>
  <si>
    <t>Total Revenue</t>
  </si>
  <si>
    <t>cogs</t>
  </si>
  <si>
    <t>Current stock qty</t>
  </si>
  <si>
    <t>Cost Price</t>
  </si>
  <si>
    <t>Stock risk count</t>
  </si>
  <si>
    <t>Row Labels</t>
  </si>
  <si>
    <t>Grand Total</t>
  </si>
  <si>
    <t>Sum of Qty</t>
  </si>
  <si>
    <t>Count of Product ID</t>
  </si>
  <si>
    <t>In Stock</t>
  </si>
  <si>
    <t>Low Stock</t>
  </si>
  <si>
    <t>Out of Stock</t>
  </si>
  <si>
    <r>
      <t>SUMX</t>
    </r>
    <r>
      <rPr>
        <sz val="8"/>
        <color theme="1"/>
        <rFont val="Microsoft Sans Serif"/>
        <family val="2"/>
      </rPr>
      <t>('Sales-table','Sales-table'[Qty]*</t>
    </r>
    <r>
      <rPr>
        <sz val="8"/>
        <color rgb="FF008000"/>
        <rFont val="Microsoft Sans Serif"/>
        <family val="2"/>
      </rPr>
      <t>RELATED</t>
    </r>
    <r>
      <rPr>
        <sz val="8"/>
        <color theme="1"/>
        <rFont val="Microsoft Sans Serif"/>
        <family val="2"/>
      </rPr>
      <t>('Product-table'[Costprice]))</t>
    </r>
  </si>
  <si>
    <r>
      <t>SUM</t>
    </r>
    <r>
      <rPr>
        <sz val="8"/>
        <color theme="1"/>
        <rFont val="Microsoft Sans Serif"/>
        <family val="2"/>
      </rPr>
      <t>('Inventory-table'[Current Stock])</t>
    </r>
  </si>
  <si>
    <t>curstoct qty</t>
  </si>
  <si>
    <r>
      <t>SUMX</t>
    </r>
    <r>
      <rPr>
        <sz val="8"/>
        <color theme="1"/>
        <rFont val="Microsoft Sans Serif"/>
        <family val="2"/>
      </rPr>
      <t>('Inventory-table','Inventory-table'[Current Stock]*'Inventory-table'[Cost Price])</t>
    </r>
  </si>
  <si>
    <t>inv value</t>
  </si>
  <si>
    <t>[Total Profit]/[Total Revenue]</t>
  </si>
  <si>
    <t>profit margin</t>
  </si>
  <si>
    <r>
      <t>COUNTROWS</t>
    </r>
    <r>
      <rPr>
        <sz val="8"/>
        <color theme="1"/>
        <rFont val="Microsoft Sans Serif"/>
        <family val="2"/>
      </rPr>
      <t>(</t>
    </r>
    <r>
      <rPr>
        <sz val="8"/>
        <color rgb="FF008000"/>
        <rFont val="Microsoft Sans Serif"/>
        <family val="2"/>
      </rPr>
      <t>FILTER</t>
    </r>
    <r>
      <rPr>
        <sz val="8"/>
        <color theme="1"/>
        <rFont val="Microsoft Sans Serif"/>
        <family val="2"/>
      </rPr>
      <t xml:space="preserve">('Inventory-table','Inventory-table'[Stock Status]= </t>
    </r>
    <r>
      <rPr>
        <sz val="8"/>
        <color rgb="FFA31515"/>
        <rFont val="Microsoft Sans Serif"/>
        <family val="2"/>
      </rPr>
      <t>"Low Stock"</t>
    </r>
    <r>
      <rPr>
        <sz val="8"/>
        <color theme="1"/>
        <rFont val="Microsoft Sans Serif"/>
        <family val="2"/>
      </rPr>
      <t xml:space="preserve"> || 'Inventory-table'[Stock Status]= </t>
    </r>
    <r>
      <rPr>
        <sz val="8"/>
        <color rgb="FFA31515"/>
        <rFont val="Microsoft Sans Serif"/>
        <family val="2"/>
      </rPr>
      <t>"Out Stock"</t>
    </r>
    <r>
      <rPr>
        <sz val="8"/>
        <color theme="1"/>
        <rFont val="Microsoft Sans Serif"/>
        <family val="2"/>
      </rPr>
      <t>))</t>
    </r>
  </si>
  <si>
    <t>[Total Revenue]-[cogs]</t>
  </si>
  <si>
    <t>stockriskcount</t>
  </si>
  <si>
    <t>total rev</t>
  </si>
  <si>
    <t>total profit</t>
  </si>
  <si>
    <r>
      <t>SUM</t>
    </r>
    <r>
      <rPr>
        <sz val="8"/>
        <color theme="1"/>
        <rFont val="Microsoft Sans Serif"/>
        <family val="2"/>
      </rPr>
      <t>('Sales-table'[Total Amount])</t>
    </r>
  </si>
  <si>
    <t>totalrev</t>
  </si>
  <si>
    <t>Total profit</t>
  </si>
  <si>
    <t>Total Orders</t>
  </si>
  <si>
    <t>Cogs</t>
  </si>
  <si>
    <t>Inventory value</t>
  </si>
  <si>
    <t>Sum of Current Stock</t>
  </si>
  <si>
    <t>Mar</t>
  </si>
  <si>
    <t>femi</t>
  </si>
  <si>
    <t>dera</t>
  </si>
  <si>
    <t>adel</t>
  </si>
  <si>
    <t>New Selling price</t>
  </si>
  <si>
    <t>New Cost price</t>
  </si>
  <si>
    <t>Cost price</t>
  </si>
  <si>
    <t>Update Form</t>
  </si>
  <si>
    <t>oge</t>
  </si>
  <si>
    <t>Sarah</t>
  </si>
  <si>
    <t>Adel</t>
  </si>
  <si>
    <t>kosi</t>
  </si>
  <si>
    <t>tony</t>
  </si>
  <si>
    <t>wisdom</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</si>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</sst>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yyyy;@" x16r2:formatCode16="[$-en-NG,1]dd/mm/yyyy;@"/>
    <numFmt numFmtId="165" formatCode="dd/mm/yyyy\ hh:mm:ss"/>
    <numFmt numFmtId="166" formatCode="[&gt;=1000000]0.00,,&quot;M&quot;;[&gt;=1000]0.00,&quot;K&quot;;0"/>
    <numFmt numFmtId="167" formatCode="0.0%"/>
  </numFmts>
  <fonts count="11"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sz val="8"/>
      <color rgb="FF008000"/>
      <name val="Microsoft Sans Serif"/>
      <family val="2"/>
    </font>
    <font>
      <sz val="8"/>
      <color theme="1"/>
      <name val="Microsoft Sans Serif"/>
      <family val="2"/>
    </font>
    <font>
      <sz val="8"/>
      <color rgb="FFA31515"/>
      <name val="Microsoft Sans Serif"/>
      <family val="2"/>
    </font>
    <font>
      <sz val="11"/>
      <color theme="1"/>
      <name val="Calibri"/>
      <family val="2"/>
      <scheme val="minor"/>
    </font>
    <font>
      <b/>
      <sz val="18"/>
      <color theme="2"/>
      <name val="Calibri"/>
      <family val="2"/>
      <scheme val="minor"/>
    </font>
    <font>
      <sz val="11"/>
      <color theme="2"/>
      <name val="Calibri"/>
      <family val="2"/>
      <scheme val="minor"/>
    </font>
    <font>
      <b/>
      <sz val="11"/>
      <color theme="0"/>
      <name val="Calibri"/>
      <family val="2"/>
      <scheme val="minor"/>
    </font>
  </fonts>
  <fills count="8">
    <fill>
      <patternFill patternType="none"/>
    </fill>
    <fill>
      <patternFill patternType="gray125"/>
    </fill>
    <fill>
      <patternFill patternType="solid">
        <fgColor rgb="FFF5F0FF"/>
        <bgColor indexed="64"/>
      </patternFill>
    </fill>
    <fill>
      <patternFill patternType="solid">
        <fgColor rgb="FF7030A0"/>
        <bgColor indexed="64"/>
      </patternFill>
    </fill>
    <fill>
      <patternFill patternType="solid">
        <fgColor rgb="FFFF0000"/>
        <bgColor indexed="64"/>
      </patternFill>
    </fill>
    <fill>
      <patternFill patternType="solid">
        <fgColor rgb="FF0070C0"/>
        <bgColor indexed="64"/>
      </patternFill>
    </fill>
    <fill>
      <patternFill patternType="solid">
        <fgColor theme="2"/>
        <bgColor indexed="64"/>
      </patternFill>
    </fill>
    <fill>
      <patternFill patternType="solid">
        <fgColor rgb="FF6A4C93"/>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s>
  <cellStyleXfs count="2">
    <xf numFmtId="0" fontId="0" fillId="0" borderId="0"/>
    <xf numFmtId="9" fontId="7" fillId="0" borderId="0" applyFont="0" applyFill="0" applyBorder="0" applyAlignment="0" applyProtection="0"/>
  </cellStyleXfs>
  <cellXfs count="55">
    <xf numFmtId="0" fontId="0" fillId="0" borderId="0" xfId="0"/>
    <xf numFmtId="0" fontId="0" fillId="2" borderId="0" xfId="0" applyFill="1"/>
    <xf numFmtId="0" fontId="0" fillId="3" borderId="0" xfId="0" applyFill="1"/>
    <xf numFmtId="0" fontId="2" fillId="4" borderId="0" xfId="0" applyFont="1" applyFill="1"/>
    <xf numFmtId="0" fontId="2" fillId="5" borderId="0" xfId="0" applyFont="1" applyFill="1"/>
    <xf numFmtId="164" fontId="0" fillId="2" borderId="0" xfId="0" applyNumberFormat="1" applyFill="1"/>
    <xf numFmtId="14" fontId="0" fillId="2" borderId="0" xfId="0" applyNumberFormat="1" applyFill="1"/>
    <xf numFmtId="3" fontId="0" fillId="2" borderId="0" xfId="0" applyNumberFormat="1" applyFill="1"/>
    <xf numFmtId="22" fontId="0" fillId="2" borderId="0" xfId="0" applyNumberFormat="1" applyFill="1"/>
    <xf numFmtId="22" fontId="0" fillId="3" borderId="0" xfId="0" applyNumberFormat="1" applyFill="1"/>
    <xf numFmtId="165" fontId="0" fillId="2" borderId="0" xfId="0" applyNumberFormat="1" applyFill="1"/>
    <xf numFmtId="0" fontId="0" fillId="0" borderId="0" xfId="0" pivotButton="1"/>
    <xf numFmtId="14" fontId="0" fillId="0" borderId="0" xfId="0" applyNumberFormat="1" applyAlignment="1">
      <alignment horizontal="left"/>
    </xf>
    <xf numFmtId="0" fontId="0" fillId="0" borderId="0" xfId="0" applyAlignment="1">
      <alignment horizontal="left"/>
    </xf>
    <xf numFmtId="0" fontId="4" fillId="0" borderId="0" xfId="0" applyFont="1" applyAlignment="1">
      <alignment vertical="center"/>
    </xf>
    <xf numFmtId="0" fontId="5" fillId="0" borderId="0" xfId="0" applyFont="1" applyAlignment="1">
      <alignment vertical="center"/>
    </xf>
    <xf numFmtId="166" fontId="0" fillId="0" borderId="0" xfId="0" applyNumberFormat="1"/>
    <xf numFmtId="167" fontId="0" fillId="0" borderId="0" xfId="0" applyNumberFormat="1"/>
    <xf numFmtId="167" fontId="0" fillId="0" borderId="0" xfId="1" applyNumberFormat="1" applyFont="1"/>
    <xf numFmtId="0" fontId="0" fillId="6" borderId="0" xfId="0" applyFill="1"/>
    <xf numFmtId="49" fontId="1" fillId="6" borderId="1" xfId="0" applyNumberFormat="1" applyFont="1" applyFill="1" applyBorder="1"/>
    <xf numFmtId="14" fontId="0" fillId="6" borderId="1" xfId="0" applyNumberFormat="1" applyFill="1" applyBorder="1"/>
    <xf numFmtId="0" fontId="1" fillId="6" borderId="1" xfId="0" applyFont="1" applyFill="1" applyBorder="1"/>
    <xf numFmtId="0" fontId="0" fillId="6" borderId="1" xfId="0" applyFill="1" applyBorder="1"/>
    <xf numFmtId="3" fontId="0" fillId="6" borderId="1" xfId="0" applyNumberFormat="1" applyFill="1" applyBorder="1"/>
    <xf numFmtId="14" fontId="0" fillId="6" borderId="0" xfId="0" applyNumberFormat="1" applyFill="1"/>
    <xf numFmtId="3" fontId="0" fillId="6" borderId="0" xfId="0" applyNumberFormat="1" applyFill="1"/>
    <xf numFmtId="165" fontId="0" fillId="6" borderId="0" xfId="0" applyNumberFormat="1" applyFill="1"/>
    <xf numFmtId="49" fontId="1" fillId="6" borderId="1" xfId="0" applyNumberFormat="1" applyFont="1" applyFill="1" applyBorder="1" applyAlignment="1">
      <alignment horizontal="center"/>
    </xf>
    <xf numFmtId="0" fontId="0" fillId="6" borderId="1" xfId="0" applyFill="1" applyBorder="1" applyAlignment="1">
      <alignment horizontal="center"/>
    </xf>
    <xf numFmtId="22" fontId="0" fillId="6" borderId="0" xfId="0" applyNumberFormat="1" applyFill="1"/>
    <xf numFmtId="49" fontId="1" fillId="6" borderId="0" xfId="0" applyNumberFormat="1" applyFont="1" applyFill="1"/>
    <xf numFmtId="49" fontId="0" fillId="6" borderId="0" xfId="0" applyNumberFormat="1" applyFill="1"/>
    <xf numFmtId="49" fontId="1" fillId="6" borderId="0" xfId="0" applyNumberFormat="1" applyFont="1" applyFill="1" applyAlignment="1">
      <alignment horizontal="center"/>
    </xf>
    <xf numFmtId="0" fontId="0" fillId="2" borderId="1" xfId="0" applyFill="1" applyBorder="1"/>
    <xf numFmtId="3" fontId="0" fillId="2" borderId="1" xfId="0" applyNumberFormat="1" applyFill="1" applyBorder="1"/>
    <xf numFmtId="0" fontId="0" fillId="6" borderId="2" xfId="0" applyFill="1" applyBorder="1" applyAlignment="1">
      <alignment horizontal="center"/>
    </xf>
    <xf numFmtId="0" fontId="0" fillId="6" borderId="3" xfId="0" applyFill="1" applyBorder="1" applyAlignment="1">
      <alignment horizontal="center"/>
    </xf>
    <xf numFmtId="0" fontId="0" fillId="6" borderId="6" xfId="0" applyFill="1" applyBorder="1" applyAlignment="1">
      <alignment horizontal="center"/>
    </xf>
    <xf numFmtId="0" fontId="0" fillId="6" borderId="7"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49" fontId="0" fillId="6" borderId="2" xfId="0" applyNumberFormat="1" applyFill="1" applyBorder="1" applyAlignment="1">
      <alignment horizontal="center"/>
    </xf>
    <xf numFmtId="49" fontId="0" fillId="6" borderId="3" xfId="0" applyNumberFormat="1" applyFill="1" applyBorder="1" applyAlignment="1">
      <alignment horizontal="center"/>
    </xf>
    <xf numFmtId="49" fontId="0" fillId="6" borderId="4" xfId="0" applyNumberFormat="1" applyFill="1" applyBorder="1" applyAlignment="1">
      <alignment horizontal="center"/>
    </xf>
    <xf numFmtId="49" fontId="0" fillId="6" borderId="5" xfId="0" applyNumberFormat="1" applyFill="1" applyBorder="1" applyAlignment="1">
      <alignment horizontal="center"/>
    </xf>
    <xf numFmtId="0" fontId="8" fillId="7" borderId="0" xfId="0" applyFont="1" applyFill="1" applyAlignment="1">
      <alignment horizontal="center"/>
    </xf>
    <xf numFmtId="0" fontId="9" fillId="7" borderId="0" xfId="0" applyFont="1" applyFill="1" applyAlignment="1">
      <alignment horizontal="center"/>
    </xf>
    <xf numFmtId="0" fontId="9" fillId="7" borderId="8" xfId="0" applyFont="1" applyFill="1" applyBorder="1" applyAlignment="1">
      <alignment horizontal="center"/>
    </xf>
    <xf numFmtId="0" fontId="8" fillId="7" borderId="0" xfId="0" applyFont="1" applyFill="1" applyAlignment="1">
      <alignment horizontal="center" vertical="center"/>
    </xf>
    <xf numFmtId="0" fontId="9" fillId="7" borderId="0" xfId="0" applyFont="1" applyFill="1" applyAlignment="1">
      <alignment horizontal="center" vertical="center"/>
    </xf>
    <xf numFmtId="0" fontId="9" fillId="7" borderId="8" xfId="0" applyFont="1" applyFill="1" applyBorder="1" applyAlignment="1">
      <alignment horizontal="center" vertical="center"/>
    </xf>
    <xf numFmtId="0" fontId="10" fillId="7" borderId="8" xfId="0" applyFont="1" applyFill="1" applyBorder="1" applyAlignment="1">
      <alignment horizontal="center"/>
    </xf>
    <xf numFmtId="0" fontId="0" fillId="7" borderId="8" xfId="0" applyFill="1" applyBorder="1" applyAlignment="1">
      <alignment horizontal="center"/>
    </xf>
    <xf numFmtId="0" fontId="0" fillId="0" borderId="0" xfId="0" applyNumberFormat="1"/>
  </cellXfs>
  <cellStyles count="2">
    <cellStyle name="Normal" xfId="0" builtinId="0"/>
    <cellStyle name="Percent" xfId="1" builtinId="5"/>
  </cellStyles>
  <dxfs count="74">
    <dxf>
      <numFmt numFmtId="166" formatCode="[&gt;=1000000]0.00,,&quot;M&quot;;[&gt;=1000]0.00,&quot;K&quot;;0"/>
    </dxf>
    <dxf>
      <numFmt numFmtId="166" formatCode="[&gt;=1000000]0.00,,&quot;M&quot;;[&gt;=1000]0.00,&quot;K&quot;;0"/>
    </dxf>
    <dxf>
      <numFmt numFmtId="166" formatCode="[&gt;=1000000]0.00,,&quot;M&quot;;[&gt;=1000]0.00,&quot;K&quot;;0"/>
    </dxf>
    <dxf>
      <numFmt numFmtId="166" formatCode="[&gt;=1000000]0.00,,&quot;M&quot;;[&gt;=1000]0.00,&quot;K&quot;;0"/>
    </dxf>
    <dxf>
      <numFmt numFmtId="166" formatCode="[&gt;=1000000]0.00,,&quot;M&quot;;[&gt;=1000]0.00,&quot;K&quot;;0"/>
    </dxf>
    <dxf>
      <numFmt numFmtId="167" formatCode="0.0%"/>
    </dxf>
    <dxf>
      <numFmt numFmtId="166" formatCode="[&gt;=1000000]0.00,,&quot;M&quot;;[&gt;=1000]0.00,&quot;K&quot;;0"/>
    </dxf>
    <dxf>
      <numFmt numFmtId="166" formatCode="[&gt;=1000000]0.00,,&quot;M&quot;;[&gt;=1000]0.00,&quot;K&quot;;0"/>
    </dxf>
    <dxf>
      <numFmt numFmtId="166" formatCode="[&gt;=1000000]0.00,,&quot;M&quot;;[&gt;=1000]0.00,&quot;K&quot;;0"/>
    </dxf>
    <dxf>
      <numFmt numFmtId="167" formatCode="0.0%"/>
    </dxf>
    <dxf>
      <numFmt numFmtId="166" formatCode="[&gt;=1000000]0.00,,&quot;M&quot;;[&gt;=1000]0.00,&quot;K&quot;;0"/>
    </dxf>
    <dxf>
      <numFmt numFmtId="166" formatCode="[&gt;=1000000]0.00,,&quot;M&quot;;[&gt;=1000]0.00,&quot;K&quot;;0"/>
    </dxf>
    <dxf>
      <numFmt numFmtId="166" formatCode="[&gt;=1000000]0.00,,&quot;M&quot;;[&gt;=1000]0.00,&quot;K&quot;;0"/>
    </dxf>
    <dxf>
      <numFmt numFmtId="166" formatCode="[&gt;=1000000]0.00,,&quot;M&quot;;[&gt;=1000]0.00,&quot;K&quot;;0"/>
    </dxf>
    <dxf>
      <numFmt numFmtId="166" formatCode="[&gt;=1000000]0.00,,&quot;M&quot;;[&gt;=1000]0.00,&quot;K&quot;;0"/>
    </dxf>
    <dxf>
      <numFmt numFmtId="166" formatCode="[&gt;=1000000]0.00,,&quot;M&quot;;[&gt;=1000]0.00,&quot;K&quot;;0"/>
    </dxf>
    <dxf>
      <numFmt numFmtId="0" formatCode="General"/>
      <fill>
        <patternFill patternType="solid">
          <fgColor indexed="64"/>
          <bgColor rgb="FFF5F0FF"/>
        </patternFill>
      </fill>
    </dxf>
    <dxf>
      <numFmt numFmtId="0" formatCode="General"/>
      <fill>
        <patternFill patternType="solid">
          <fgColor indexed="64"/>
          <bgColor rgb="FFF5F0FF"/>
        </patternFill>
      </fill>
    </dxf>
    <dxf>
      <numFmt numFmtId="0" formatCode="General"/>
      <fill>
        <patternFill patternType="solid">
          <fgColor indexed="64"/>
          <bgColor rgb="FFF5F0FF"/>
        </patternFill>
      </fill>
    </dxf>
    <dxf>
      <numFmt numFmtId="0" formatCode="General"/>
      <fill>
        <patternFill patternType="solid">
          <fgColor indexed="64"/>
          <bgColor rgb="FFF5F0FF"/>
        </patternFill>
      </fill>
    </dxf>
    <dxf>
      <numFmt numFmtId="0" formatCode="General"/>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7030A0"/>
        </patternFill>
      </fill>
    </dxf>
    <dxf>
      <fill>
        <patternFill>
          <bgColor rgb="FFFF0000"/>
        </patternFill>
      </fill>
    </dxf>
    <dxf>
      <fill>
        <patternFill>
          <bgColor rgb="FFFF0000"/>
        </patternFill>
      </fill>
    </dxf>
    <dxf>
      <fill>
        <patternFill>
          <bgColor rgb="FFFFC000"/>
        </patternFill>
      </fill>
    </dxf>
    <dxf>
      <fill>
        <patternFill>
          <bgColor rgb="FF92D050"/>
        </patternFill>
      </fill>
    </dxf>
    <dxf>
      <numFmt numFmtId="27" formatCode="dd/mm/yyyy\ hh:mm"/>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numFmt numFmtId="3" formatCode="#,##0"/>
      <fill>
        <patternFill patternType="solid">
          <fgColor indexed="64"/>
          <bgColor rgb="FFF5F0FF"/>
        </patternFill>
      </fill>
    </dxf>
    <dxf>
      <numFmt numFmtId="3" formatCode="#,##0"/>
      <fill>
        <patternFill patternType="solid">
          <fgColor indexed="64"/>
          <bgColor rgb="FFF5F0FF"/>
        </patternFill>
      </fill>
    </dxf>
    <dxf>
      <numFmt numFmtId="3" formatCode="#,##0"/>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numFmt numFmtId="19" formatCode="dd/mm/yyyy"/>
      <fill>
        <patternFill patternType="solid">
          <fgColor indexed="64"/>
          <bgColor rgb="FFF5F0FF"/>
        </patternFill>
      </fill>
    </dxf>
    <dxf>
      <fill>
        <patternFill patternType="solid">
          <fgColor indexed="64"/>
          <bgColor rgb="FFF5F0FF"/>
        </patternFill>
      </fill>
    </dxf>
    <dxf>
      <fill>
        <patternFill patternType="solid">
          <fgColor indexed="64"/>
          <bgColor rgb="FF7030A0"/>
        </patternFill>
      </fill>
    </dxf>
    <dxf>
      <numFmt numFmtId="165" formatCode="dd/mm/yyyy\ hh:mm:ss"/>
      <fill>
        <patternFill patternType="solid">
          <fgColor indexed="64"/>
          <bgColor rgb="FFF5F0FF"/>
        </patternFill>
      </fill>
    </dxf>
    <dxf>
      <numFmt numFmtId="3" formatCode="#,##0"/>
      <fill>
        <patternFill patternType="solid">
          <fgColor indexed="64"/>
          <bgColor rgb="FFF5F0FF"/>
        </patternFill>
      </fill>
    </dxf>
    <dxf>
      <numFmt numFmtId="3" formatCode="#,##0"/>
      <fill>
        <patternFill patternType="solid">
          <fgColor indexed="64"/>
          <bgColor rgb="FFF5F0FF"/>
        </patternFill>
      </fill>
    </dxf>
    <dxf>
      <numFmt numFmtId="3" formatCode="#,##0"/>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numFmt numFmtId="164" formatCode="[$]dd/mm/yyyy;@" x16r2:formatCode16="[$-en-NG,1]dd/mm/yyyy;@"/>
      <fill>
        <patternFill patternType="solid">
          <fgColor indexed="64"/>
          <bgColor rgb="FFF5F0FF"/>
        </patternFill>
      </fill>
    </dxf>
    <dxf>
      <fill>
        <patternFill patternType="solid">
          <fgColor indexed="64"/>
          <bgColor rgb="FFF5F0FF"/>
        </patternFill>
      </fill>
    </dxf>
    <dxf>
      <fill>
        <patternFill patternType="solid">
          <fgColor indexed="64"/>
          <bgColor rgb="FF7030A0"/>
        </patternFill>
      </fill>
    </dxf>
    <dxf>
      <numFmt numFmtId="3" formatCode="#,##0"/>
      <fill>
        <patternFill patternType="solid">
          <fgColor indexed="64"/>
          <bgColor rgb="FFF5F0FF"/>
        </patternFill>
      </fill>
    </dxf>
    <dxf>
      <numFmt numFmtId="3" formatCode="#,##0"/>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F5F0FF"/>
        </patternFill>
      </fill>
    </dxf>
    <dxf>
      <fill>
        <patternFill patternType="solid">
          <fgColor indexed="64"/>
          <bgColor rgb="FF7030A0"/>
        </patternFill>
      </fill>
    </dxf>
    <dxf>
      <fill>
        <patternFill>
          <bgColor rgb="FFFF0000"/>
        </patternFill>
      </fill>
    </dxf>
    <dxf>
      <font>
        <b/>
        <i val="0"/>
        <sz val="11"/>
        <color theme="0"/>
        <name val="Calibri"/>
        <family val="2"/>
        <scheme val="minor"/>
      </font>
      <fill>
        <patternFill>
          <bgColor theme="0"/>
        </patternFill>
      </fill>
      <border diagonalUp="0" diagonalDown="0">
        <left/>
        <right/>
        <top/>
        <bottom/>
        <vertical/>
        <horizontal/>
      </border>
    </dxf>
    <dxf>
      <fill>
        <patternFill patternType="solid">
          <fgColor theme="0"/>
          <bgColor theme="0"/>
        </patternFill>
      </fill>
      <border diagonalUp="0" diagonalDown="0">
        <left/>
        <right/>
        <top/>
        <bottom/>
        <vertical/>
        <horizontal/>
      </border>
    </dxf>
    <dxf>
      <font>
        <b/>
        <i val="0"/>
        <sz val="11"/>
        <color theme="0"/>
      </font>
      <fill>
        <patternFill>
          <bgColor rgb="FF6A4C93"/>
        </patternFill>
      </fill>
      <border diagonalUp="0" diagonalDown="0">
        <left/>
        <right/>
        <top/>
        <bottom/>
        <vertical/>
        <horizontal/>
      </border>
    </dxf>
    <dxf>
      <fill>
        <patternFill>
          <bgColor theme="0"/>
        </patternFill>
      </fill>
      <border diagonalUp="0" diagonalDown="0">
        <left/>
        <right/>
        <top/>
        <bottom/>
        <vertical/>
        <horizontal/>
      </border>
    </dxf>
  </dxfs>
  <tableStyles count="2" defaultTableStyle="TableStyleMedium2" defaultPivotStyle="PivotStyleLight16">
    <tableStyle name="Slicer Style 1" pivot="0" table="0" count="9" xr9:uid="{A85389D3-BB14-4208-8AC6-8272745DA327}">
      <tableStyleElement type="wholeTable" dxfId="73"/>
      <tableStyleElement type="headerRow" dxfId="72"/>
    </tableStyle>
    <tableStyle name="Timeline Style 1" pivot="0" table="0" count="8" xr9:uid="{16847A75-FC6A-4BDD-85F2-E9659C3DA576}">
      <tableStyleElement type="wholeTable" dxfId="71"/>
      <tableStyleElement type="headerRow" dxfId="70"/>
    </tableStyle>
  </tableStyles>
  <colors>
    <mruColors>
      <color rgb="FFC2AFF8"/>
      <color rgb="FF6A4C93"/>
      <color rgb="FFD2C3FF"/>
      <color rgb="FFEFE8FF"/>
      <color rgb="FF9E82EB"/>
      <color rgb="FFD2C2FF"/>
      <color rgb="FFF8F2FF"/>
      <color rgb="FF2DC3FF"/>
      <color rgb="FFFFFFFF"/>
    </mruColors>
  </colors>
  <extLst>
    <ext xmlns:x14="http://schemas.microsoft.com/office/spreadsheetml/2009/9/main" uri="{46F421CA-312F-682f-3DD2-61675219B42D}">
      <x14:dxfs count="7">
        <dxf>
          <font>
            <color theme="1" tint="0.499984740745262"/>
          </font>
          <fill>
            <patternFill>
              <bgColor rgb="FFD2C3FF"/>
            </patternFill>
          </fill>
        </dxf>
        <dxf>
          <font>
            <color theme="0"/>
          </font>
          <fill>
            <patternFill>
              <bgColor rgb="FFD2C3FF"/>
            </patternFill>
          </fill>
        </dxf>
        <dxf>
          <fill>
            <patternFill>
              <bgColor rgb="FFD2C3FF"/>
            </patternFill>
          </fill>
        </dxf>
        <dxf>
          <font>
            <color theme="0"/>
          </font>
          <fill>
            <patternFill>
              <bgColor rgb="FFD2C3FF"/>
            </patternFill>
          </fill>
          <border diagonalUp="0" diagonalDown="0">
            <left/>
            <right/>
            <top/>
            <bottom/>
            <vertical/>
            <horizontal/>
          </border>
        </dxf>
        <dxf>
          <font>
            <b/>
            <i val="0"/>
            <sz val="11"/>
          </font>
          <fill>
            <patternFill>
              <bgColor rgb="FFD2C2FF"/>
            </patternFill>
          </fill>
        </dxf>
        <dxf>
          <font>
            <color theme="1" tint="0.499984740745262"/>
          </font>
          <fill>
            <patternFill>
              <fgColor theme="0"/>
              <bgColor theme="0"/>
            </patternFill>
          </fill>
          <border diagonalUp="0" diagonalDown="0">
            <left/>
            <right/>
            <top/>
            <bottom/>
            <vertical/>
            <horizontal/>
          </border>
        </dxf>
        <dxf>
          <font>
            <b val="0"/>
            <i val="0"/>
            <sz val="11"/>
            <color theme="1" tint="0.499984740745262"/>
          </font>
          <fill>
            <patternFill>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6795556505021"/>
              <bgColor rgb="FFD2C3FF"/>
            </patternFill>
          </fill>
          <border diagonalUp="0" diagonalDown="0">
            <left/>
            <right/>
            <top/>
            <bottom/>
            <vertical/>
            <horizontal/>
          </border>
        </dxf>
        <dxf>
          <fill>
            <patternFill patternType="solid">
              <fgColor theme="0"/>
              <bgColor rgb="FF6A4C93"/>
            </patternFill>
          </fill>
          <border diagonalUp="0" diagonalDown="0">
            <left/>
            <right/>
            <top/>
            <bottom/>
            <vertical/>
            <horizontal/>
          </border>
        </dxf>
        <dxf>
          <font>
            <sz val="10"/>
            <color theme="1" tint="0.499984740745262"/>
            <name val="Calibri"/>
            <family val="2"/>
            <scheme val="minor"/>
          </font>
        </dxf>
        <dxf>
          <font>
            <sz val="10"/>
            <color theme="1" tint="0.499984740745262"/>
            <name val="Calibri"/>
            <family val="2"/>
            <scheme val="minor"/>
          </font>
        </dxf>
        <dxf>
          <font>
            <sz val="10"/>
            <color theme="1" tint="0.499984740745262"/>
            <name val="Calibri"/>
            <family val="2"/>
            <scheme val="minor"/>
          </font>
        </dxf>
        <dxf>
          <font>
            <b/>
            <i val="0"/>
            <sz val="10"/>
            <color theme="1" tint="0.499984740745262"/>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4.xml"/><Relationship Id="rId47" Type="http://schemas.openxmlformats.org/officeDocument/2006/relationships/customXml" Target="../customXml/item9.xml"/><Relationship Id="rId63" Type="http://schemas.openxmlformats.org/officeDocument/2006/relationships/customXml" Target="../customXml/item25.xml"/><Relationship Id="rId68" Type="http://schemas.openxmlformats.org/officeDocument/2006/relationships/customXml" Target="../customXml/item30.xml"/><Relationship Id="rId84" Type="http://schemas.openxmlformats.org/officeDocument/2006/relationships/customXml" Target="../customXml/item46.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53" Type="http://schemas.openxmlformats.org/officeDocument/2006/relationships/customXml" Target="../customXml/item15.xml"/><Relationship Id="rId58" Type="http://schemas.openxmlformats.org/officeDocument/2006/relationships/customXml" Target="../customXml/item20.xml"/><Relationship Id="rId74" Type="http://schemas.openxmlformats.org/officeDocument/2006/relationships/customXml" Target="../customXml/item36.xml"/><Relationship Id="rId79" Type="http://schemas.openxmlformats.org/officeDocument/2006/relationships/customXml" Target="../customXml/item41.xml"/><Relationship Id="rId5" Type="http://schemas.openxmlformats.org/officeDocument/2006/relationships/worksheet" Target="worksheets/sheet5.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openxmlformats.org/officeDocument/2006/relationships/pivotCacheDefinition" Target="pivotCache/pivotCacheDefinition18.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77" Type="http://schemas.openxmlformats.org/officeDocument/2006/relationships/customXml" Target="../customXml/item39.xml"/><Relationship Id="rId8" Type="http://schemas.openxmlformats.org/officeDocument/2006/relationships/worksheet" Target="worksheets/sheet8.xml"/><Relationship Id="rId51" Type="http://schemas.openxmlformats.org/officeDocument/2006/relationships/customXml" Target="../customXml/item13.xml"/><Relationship Id="rId72" Type="http://schemas.openxmlformats.org/officeDocument/2006/relationships/customXml" Target="../customXml/item34.xml"/><Relationship Id="rId80" Type="http://schemas.openxmlformats.org/officeDocument/2006/relationships/customXml" Target="../customXml/item42.xml"/><Relationship Id="rId85" Type="http://schemas.openxmlformats.org/officeDocument/2006/relationships/customXml" Target="../customXml/item47.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0.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 Id="rId75" Type="http://schemas.openxmlformats.org/officeDocument/2006/relationships/customXml" Target="../customXml/item37.xml"/><Relationship Id="rId83"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microsoft.com/office/2007/relationships/slicerCache" Target="slicerCaches/slicerCache1.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11/relationships/timelineCache" Target="timelineCaches/timeline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73" Type="http://schemas.openxmlformats.org/officeDocument/2006/relationships/customXml" Target="../customXml/item35.xml"/><Relationship Id="rId78" Type="http://schemas.openxmlformats.org/officeDocument/2006/relationships/customXml" Target="../customXml/item40.xml"/><Relationship Id="rId81" Type="http://schemas.openxmlformats.org/officeDocument/2006/relationships/customXml" Target="../customXml/item43.xml"/><Relationship Id="rId86" Type="http://schemas.openxmlformats.org/officeDocument/2006/relationships/customXml" Target="../customXml/item4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1.xml"/><Relationship Id="rId34" Type="http://schemas.openxmlformats.org/officeDocument/2006/relationships/styles" Target="styles.xml"/><Relationship Id="rId50" Type="http://schemas.openxmlformats.org/officeDocument/2006/relationships/customXml" Target="../customXml/item12.xml"/><Relationship Id="rId55" Type="http://schemas.openxmlformats.org/officeDocument/2006/relationships/customXml" Target="../customXml/item17.xml"/><Relationship Id="rId76" Type="http://schemas.openxmlformats.org/officeDocument/2006/relationships/customXml" Target="../customXml/item38.xml"/><Relationship Id="rId7" Type="http://schemas.openxmlformats.org/officeDocument/2006/relationships/worksheet" Target="worksheets/sheet7.xml"/><Relationship Id="rId71" Type="http://schemas.openxmlformats.org/officeDocument/2006/relationships/customXml" Target="../customXml/item33.xml"/><Relationship Id="rId2" Type="http://schemas.openxmlformats.org/officeDocument/2006/relationships/worksheet" Target="worksheets/sheet2.xml"/><Relationship Id="rId29" Type="http://schemas.microsoft.com/office/2007/relationships/slicerCache" Target="slicerCaches/slicerCache2.xml"/><Relationship Id="rId24" Type="http://schemas.openxmlformats.org/officeDocument/2006/relationships/pivotCacheDefinition" Target="pivotCache/pivotCacheDefinition14.xml"/><Relationship Id="rId40" Type="http://schemas.openxmlformats.org/officeDocument/2006/relationships/customXml" Target="../customXml/item2.xml"/><Relationship Id="rId45" Type="http://schemas.openxmlformats.org/officeDocument/2006/relationships/customXml" Target="../customXml/item7.xml"/><Relationship Id="rId66" Type="http://schemas.openxmlformats.org/officeDocument/2006/relationships/customXml" Target="../customXml/item28.xml"/><Relationship Id="rId87" Type="http://schemas.microsoft.com/office/2006/relationships/vbaProject" Target="vbaProject.bin"/><Relationship Id="rId61" Type="http://schemas.openxmlformats.org/officeDocument/2006/relationships/customXml" Target="../customXml/item23.xml"/><Relationship Id="rId82" Type="http://schemas.openxmlformats.org/officeDocument/2006/relationships/customXml" Target="../customXml/item4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management.xlsm]pivottable!PivotTable23</c:name>
    <c:fmtId val="3"/>
  </c:pivotSource>
  <c:chart>
    <c:autoTitleDeleted val="1"/>
    <c:pivotFmts>
      <c:pivotFmt>
        <c:idx val="0"/>
        <c:spPr>
          <a:solidFill>
            <a:srgbClr val="6A4C93">
              <a:alpha val="8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A4C93">
              <a:alpha val="8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A4C93">
              <a:alpha val="81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459189882743278E-2"/>
          <c:y val="0.11623310916130833"/>
          <c:w val="0.90908162023451344"/>
          <c:h val="0.73810026364094505"/>
        </c:manualLayout>
      </c:layout>
      <c:barChart>
        <c:barDir val="col"/>
        <c:grouping val="clustered"/>
        <c:varyColors val="0"/>
        <c:ser>
          <c:idx val="0"/>
          <c:order val="0"/>
          <c:tx>
            <c:strRef>
              <c:f>pivottable!$E$2</c:f>
              <c:strCache>
                <c:ptCount val="1"/>
                <c:pt idx="0">
                  <c:v>Total</c:v>
                </c:pt>
              </c:strCache>
            </c:strRef>
          </c:tx>
          <c:spPr>
            <a:solidFill>
              <a:srgbClr val="6A4C93">
                <a:alpha val="81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pivottable!$D$3:$D$4</c:f>
              <c:strCache>
                <c:ptCount val="1"/>
                <c:pt idx="0">
                  <c:v>Mar</c:v>
                </c:pt>
              </c:strCache>
            </c:strRef>
          </c:cat>
          <c:val>
            <c:numRef>
              <c:f>pivottable!$E$3:$E$4</c:f>
              <c:numCache>
                <c:formatCode>[&gt;=1000000]0.00,,"M";[&gt;=1000]0.00,"K";0</c:formatCode>
                <c:ptCount val="1"/>
                <c:pt idx="0">
                  <c:v>307500</c:v>
                </c:pt>
              </c:numCache>
            </c:numRef>
          </c:val>
          <c:extLst>
            <c:ext xmlns:c16="http://schemas.microsoft.com/office/drawing/2014/chart" uri="{C3380CC4-5D6E-409C-BE32-E72D297353CC}">
              <c16:uniqueId val="{00000001-89E3-4F91-B076-DF7C010DEBC1}"/>
            </c:ext>
          </c:extLst>
        </c:ser>
        <c:dLbls>
          <c:showLegendKey val="0"/>
          <c:showVal val="0"/>
          <c:showCatName val="0"/>
          <c:showSerName val="0"/>
          <c:showPercent val="0"/>
          <c:showBubbleSize val="0"/>
        </c:dLbls>
        <c:gapWidth val="330"/>
        <c:overlap val="-11"/>
        <c:axId val="1508171184"/>
        <c:axId val="1508189488"/>
      </c:barChart>
      <c:catAx>
        <c:axId val="150817118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508189488"/>
        <c:crosses val="autoZero"/>
        <c:auto val="1"/>
        <c:lblAlgn val="ctr"/>
        <c:lblOffset val="100"/>
        <c:noMultiLvlLbl val="0"/>
      </c:catAx>
      <c:valAx>
        <c:axId val="1508189488"/>
        <c:scaling>
          <c:orientation val="minMax"/>
        </c:scaling>
        <c:delete val="1"/>
        <c:axPos val="l"/>
        <c:numFmt formatCode="[&gt;=1000000]0.00,,&quot;M&quot;;[&gt;=1000]0.00,&quot;K&quot;;0" sourceLinked="1"/>
        <c:majorTickMark val="out"/>
        <c:minorTickMark val="none"/>
        <c:tickLblPos val="nextTo"/>
        <c:crossAx val="1508171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management.xlsm]pivottable!PivotTable25</c:name>
    <c:fmtId val="2"/>
  </c:pivotSource>
  <c:chart>
    <c:autoTitleDeleted val="1"/>
    <c:pivotFmts>
      <c:pivotFmt>
        <c:idx val="0"/>
        <c:spPr>
          <a:solidFill>
            <a:srgbClr val="6A4C93">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A4C93">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A4C93">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pivottable!$K$2</c:f>
              <c:strCache>
                <c:ptCount val="1"/>
                <c:pt idx="0">
                  <c:v>Total</c:v>
                </c:pt>
              </c:strCache>
            </c:strRef>
          </c:tx>
          <c:spPr>
            <a:solidFill>
              <a:srgbClr val="6A4C93">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pivottable!$J$3:$J$8</c:f>
              <c:strCache>
                <c:ptCount val="5"/>
                <c:pt idx="0">
                  <c:v>No.06</c:v>
                </c:pt>
                <c:pt idx="1">
                  <c:v>Joy</c:v>
                </c:pt>
                <c:pt idx="2">
                  <c:v>vanilla</c:v>
                </c:pt>
                <c:pt idx="3">
                  <c:v>Patrol</c:v>
                </c:pt>
                <c:pt idx="4">
                  <c:v>Voyage</c:v>
                </c:pt>
              </c:strCache>
            </c:strRef>
          </c:cat>
          <c:val>
            <c:numRef>
              <c:f>pivottable!$K$3:$K$8</c:f>
              <c:numCache>
                <c:formatCode>[&gt;=1000000]0.00,,"M";[&gt;=1000]0.00,"K";0</c:formatCode>
                <c:ptCount val="5"/>
                <c:pt idx="0">
                  <c:v>30000</c:v>
                </c:pt>
                <c:pt idx="1">
                  <c:v>12000</c:v>
                </c:pt>
                <c:pt idx="2">
                  <c:v>12000</c:v>
                </c:pt>
                <c:pt idx="3">
                  <c:v>8000</c:v>
                </c:pt>
                <c:pt idx="4">
                  <c:v>4000</c:v>
                </c:pt>
              </c:numCache>
            </c:numRef>
          </c:val>
          <c:extLst>
            <c:ext xmlns:c16="http://schemas.microsoft.com/office/drawing/2014/chart" uri="{C3380CC4-5D6E-409C-BE32-E72D297353CC}">
              <c16:uniqueId val="{00000001-D9F0-42C3-8488-A279BCF4A9BC}"/>
            </c:ext>
          </c:extLst>
        </c:ser>
        <c:dLbls>
          <c:dLblPos val="outEnd"/>
          <c:showLegendKey val="0"/>
          <c:showVal val="1"/>
          <c:showCatName val="0"/>
          <c:showSerName val="0"/>
          <c:showPercent val="0"/>
          <c:showBubbleSize val="0"/>
        </c:dLbls>
        <c:gapWidth val="214"/>
        <c:overlap val="-27"/>
        <c:axId val="549918720"/>
        <c:axId val="549923712"/>
      </c:barChart>
      <c:catAx>
        <c:axId val="5499187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49923712"/>
        <c:crosses val="autoZero"/>
        <c:auto val="1"/>
        <c:lblAlgn val="ctr"/>
        <c:lblOffset val="100"/>
        <c:noMultiLvlLbl val="0"/>
      </c:catAx>
      <c:valAx>
        <c:axId val="549923712"/>
        <c:scaling>
          <c:orientation val="minMax"/>
        </c:scaling>
        <c:delete val="1"/>
        <c:axPos val="l"/>
        <c:numFmt formatCode="[&gt;=1000000]0.00,,&quot;M&quot;;[&gt;=1000]0.00,&quot;K&quot;;0" sourceLinked="1"/>
        <c:majorTickMark val="none"/>
        <c:minorTickMark val="none"/>
        <c:tickLblPos val="nextTo"/>
        <c:crossAx val="54991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management.xlsm]pivottable!PivotTable27</c:name>
    <c:fmtId val="2"/>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dLbl>
          <c:idx val="0"/>
          <c:layout>
            <c:manualLayout>
              <c:x val="1.3888888888888888E-2"/>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noFill/>
          </a:ln>
          <a:effectLst/>
        </c:spPr>
        <c:dLbl>
          <c:idx val="0"/>
          <c:layout>
            <c:manualLayout>
              <c:x val="0.10277777777777768"/>
              <c:y val="0.124999999999999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noFill/>
          </a:ln>
          <a:effectLst/>
        </c:spPr>
        <c:dLbl>
          <c:idx val="0"/>
          <c:layout>
            <c:manualLayout>
              <c:x val="-5.8333333333333334E-2"/>
              <c:y val="0.157407407407407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noFill/>
          </a:ln>
          <a:effectLst/>
        </c:spPr>
        <c:dLbl>
          <c:idx val="0"/>
          <c:layout>
            <c:manualLayout>
              <c:x val="-0.125"/>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noFill/>
          </a:ln>
          <a:effectLst/>
        </c:spPr>
        <c:dLbl>
          <c:idx val="0"/>
          <c:layout>
            <c:manualLayout>
              <c:x val="-7.2222222222222215E-2"/>
              <c:y val="-0.180555555555555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dLbl>
          <c:idx val="0"/>
          <c:layout>
            <c:manualLayout>
              <c:x val="1.3888888888888888E-2"/>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noFill/>
          </a:ln>
          <a:effectLst/>
        </c:spPr>
        <c:dLbl>
          <c:idx val="0"/>
          <c:layout>
            <c:manualLayout>
              <c:x val="0.10277777777777768"/>
              <c:y val="0.124999999999999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noFill/>
          </a:ln>
          <a:effectLst/>
        </c:spPr>
        <c:dLbl>
          <c:idx val="0"/>
          <c:layout>
            <c:manualLayout>
              <c:x val="-5.8333333333333334E-2"/>
              <c:y val="0.157407407407407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dLbl>
          <c:idx val="0"/>
          <c:layout>
            <c:manualLayout>
              <c:x val="-0.125"/>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7.2222222222222215E-2"/>
              <c:y val="-0.1805555555555555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D2C2FF"/>
          </a:solidFill>
          <a:ln w="19050">
            <a:noFill/>
          </a:ln>
          <a:effectLst/>
        </c:spPr>
        <c:dLbl>
          <c:idx val="0"/>
          <c:layout>
            <c:manualLayout>
              <c:x val="6.0774313627830832E-2"/>
              <c:y val="-0.2601766210402651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6A4C93"/>
          </a:solidFill>
          <a:ln w="19050">
            <a:noFill/>
          </a:ln>
          <a:effectLst/>
        </c:spPr>
        <c:dLbl>
          <c:idx val="0"/>
          <c:layout>
            <c:manualLayout>
              <c:x val="0.16843262762336964"/>
              <c:y val="1.831732476694772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noFill/>
          </a:ln>
          <a:effectLst/>
        </c:spPr>
        <c:dLbl>
          <c:idx val="0"/>
          <c:layout>
            <c:manualLayout>
              <c:x val="-0.11717137966518522"/>
              <c:y val="0.4295564928828276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C2AFF8"/>
          </a:solidFill>
          <a:ln w="19050">
            <a:noFill/>
          </a:ln>
          <a:effectLst/>
        </c:spPr>
        <c:dLbl>
          <c:idx val="0"/>
          <c:layout>
            <c:manualLayout>
              <c:x val="-8.9211847812833714E-2"/>
              <c:y val="-0.173613606797514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972706536971837"/>
                  <c:h val="0.14576647520811398"/>
                </c:manualLayout>
              </c15:layout>
            </c:ext>
          </c:extLst>
        </c:dLbl>
      </c:pivotFmt>
      <c:pivotFmt>
        <c:idx val="17"/>
        <c:spPr>
          <a:solidFill>
            <a:srgbClr val="9E82EB"/>
          </a:solidFill>
          <a:ln w="19050">
            <a:noFill/>
          </a:ln>
          <a:effectLst/>
        </c:spPr>
        <c:dLbl>
          <c:idx val="0"/>
          <c:layout>
            <c:manualLayout>
              <c:x val="-3.3752293235781154E-2"/>
              <c:y val="-0.3552406353444507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657674840732727"/>
                  <c:h val="0.12198554288933927"/>
                </c:manualLayout>
              </c15:layout>
            </c:ext>
          </c:extLst>
        </c:dLbl>
      </c:pivotFmt>
      <c:pivotFmt>
        <c:idx val="18"/>
        <c:dLbl>
          <c:idx val="0"/>
          <c:layout>
            <c:manualLayout>
              <c:x val="5.7100813766884161E-2"/>
              <c:y val="-0.12208701503657006"/>
            </c:manualLayout>
          </c:layou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92708568089943"/>
          <c:y val="0.32995918821435261"/>
          <c:w val="0.39198667486218647"/>
          <c:h val="0.61021475469989384"/>
        </c:manualLayout>
      </c:layout>
      <c:doughnutChart>
        <c:varyColors val="1"/>
        <c:ser>
          <c:idx val="0"/>
          <c:order val="0"/>
          <c:tx>
            <c:strRef>
              <c:f>pivottable!$T$2</c:f>
              <c:strCache>
                <c:ptCount val="1"/>
                <c:pt idx="0">
                  <c:v>Total</c:v>
                </c:pt>
              </c:strCache>
            </c:strRef>
          </c:tx>
          <c:spPr>
            <a:ln>
              <a:noFill/>
            </a:ln>
          </c:spPr>
          <c:dPt>
            <c:idx val="0"/>
            <c:bubble3D val="0"/>
            <c:spPr>
              <a:solidFill>
                <a:srgbClr val="D2C2FF"/>
              </a:solidFill>
              <a:ln w="19050">
                <a:noFill/>
              </a:ln>
              <a:effectLst/>
            </c:spPr>
            <c:extLst>
              <c:ext xmlns:c16="http://schemas.microsoft.com/office/drawing/2014/chart" uri="{C3380CC4-5D6E-409C-BE32-E72D297353CC}">
                <c16:uniqueId val="{00000001-6EE9-49EC-B2A6-792F680E4350}"/>
              </c:ext>
            </c:extLst>
          </c:dPt>
          <c:dPt>
            <c:idx val="1"/>
            <c:bubble3D val="0"/>
            <c:spPr>
              <a:solidFill>
                <a:srgbClr val="6A4C93"/>
              </a:solidFill>
              <a:ln w="19050">
                <a:noFill/>
              </a:ln>
              <a:effectLst/>
            </c:spPr>
            <c:extLst>
              <c:ext xmlns:c16="http://schemas.microsoft.com/office/drawing/2014/chart" uri="{C3380CC4-5D6E-409C-BE32-E72D297353CC}">
                <c16:uniqueId val="{00000003-6EE9-49EC-B2A6-792F680E4350}"/>
              </c:ext>
            </c:extLst>
          </c:dPt>
          <c:dPt>
            <c:idx val="2"/>
            <c:bubble3D val="0"/>
            <c:spPr>
              <a:solidFill>
                <a:srgbClr val="C2AFF8"/>
              </a:solidFill>
              <a:ln w="19050">
                <a:noFill/>
              </a:ln>
              <a:effectLst/>
            </c:spPr>
            <c:extLst>
              <c:ext xmlns:c16="http://schemas.microsoft.com/office/drawing/2014/chart" uri="{C3380CC4-5D6E-409C-BE32-E72D297353CC}">
                <c16:uniqueId val="{00000005-6EE9-49EC-B2A6-792F680E4350}"/>
              </c:ext>
            </c:extLst>
          </c:dPt>
          <c:dPt>
            <c:idx val="3"/>
            <c:bubble3D val="0"/>
            <c:spPr>
              <a:solidFill>
                <a:srgbClr val="9E82EB"/>
              </a:solidFill>
              <a:ln w="19050">
                <a:noFill/>
              </a:ln>
              <a:effectLst/>
            </c:spPr>
            <c:extLst>
              <c:ext xmlns:c16="http://schemas.microsoft.com/office/drawing/2014/chart" uri="{C3380CC4-5D6E-409C-BE32-E72D297353CC}">
                <c16:uniqueId val="{00000007-6EE9-49EC-B2A6-792F680E4350}"/>
              </c:ext>
            </c:extLst>
          </c:dPt>
          <c:dPt>
            <c:idx val="4"/>
            <c:bubble3D val="0"/>
            <c:spPr>
              <a:solidFill>
                <a:schemeClr val="accent5"/>
              </a:solidFill>
              <a:ln w="19050">
                <a:noFill/>
              </a:ln>
              <a:effectLst/>
            </c:spPr>
            <c:extLst>
              <c:ext xmlns:c16="http://schemas.microsoft.com/office/drawing/2014/chart" uri="{C3380CC4-5D6E-409C-BE32-E72D297353CC}">
                <c16:uniqueId val="{00000009-6EE9-49EC-B2A6-792F680E4350}"/>
              </c:ext>
            </c:extLst>
          </c:dPt>
          <c:dLbls>
            <c:dLbl>
              <c:idx val="0"/>
              <c:layout>
                <c:manualLayout>
                  <c:x val="6.0774313627830832E-2"/>
                  <c:y val="-0.260176621040265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EE9-49EC-B2A6-792F680E4350}"/>
                </c:ext>
              </c:extLst>
            </c:dLbl>
            <c:dLbl>
              <c:idx val="1"/>
              <c:layout>
                <c:manualLayout>
                  <c:x val="0.16843262762336964"/>
                  <c:y val="1.83173247669477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E9-49EC-B2A6-792F680E4350}"/>
                </c:ext>
              </c:extLst>
            </c:dLbl>
            <c:dLbl>
              <c:idx val="2"/>
              <c:layout>
                <c:manualLayout>
                  <c:x val="-8.9211847812833714E-2"/>
                  <c:y val="-0.173613606797514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972706536971837"/>
                      <c:h val="0.14576647520811398"/>
                    </c:manualLayout>
                  </c15:layout>
                </c:ext>
                <c:ext xmlns:c16="http://schemas.microsoft.com/office/drawing/2014/chart" uri="{C3380CC4-5D6E-409C-BE32-E72D297353CC}">
                  <c16:uniqueId val="{00000005-6EE9-49EC-B2A6-792F680E4350}"/>
                </c:ext>
              </c:extLst>
            </c:dLbl>
            <c:dLbl>
              <c:idx val="3"/>
              <c:layout>
                <c:manualLayout>
                  <c:x val="-3.3752293235781154E-2"/>
                  <c:y val="-0.3552406353444507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8657674840732727"/>
                      <c:h val="0.12198554288933927"/>
                    </c:manualLayout>
                  </c15:layout>
                </c:ext>
                <c:ext xmlns:c16="http://schemas.microsoft.com/office/drawing/2014/chart" uri="{C3380CC4-5D6E-409C-BE32-E72D297353CC}">
                  <c16:uniqueId val="{00000007-6EE9-49EC-B2A6-792F680E4350}"/>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pivottable!$S$3:$S$7</c:f>
              <c:strCache>
                <c:ptCount val="4"/>
                <c:pt idx="0">
                  <c:v>Facebook</c:v>
                </c:pt>
                <c:pt idx="1">
                  <c:v>Instagram</c:v>
                </c:pt>
                <c:pt idx="2">
                  <c:v>Tik tok</c:v>
                </c:pt>
                <c:pt idx="3">
                  <c:v>Whatsapp</c:v>
                </c:pt>
              </c:strCache>
            </c:strRef>
          </c:cat>
          <c:val>
            <c:numRef>
              <c:f>pivottable!$T$3:$T$7</c:f>
              <c:numCache>
                <c:formatCode>[&gt;=1000000]0.00,,"M";[&gt;=1000]0.00,"K";0</c:formatCode>
                <c:ptCount val="4"/>
                <c:pt idx="0">
                  <c:v>85500</c:v>
                </c:pt>
                <c:pt idx="1">
                  <c:v>54000</c:v>
                </c:pt>
                <c:pt idx="2">
                  <c:v>11000</c:v>
                </c:pt>
                <c:pt idx="3">
                  <c:v>157000</c:v>
                </c:pt>
              </c:numCache>
            </c:numRef>
          </c:val>
          <c:extLst>
            <c:ext xmlns:c16="http://schemas.microsoft.com/office/drawing/2014/chart" uri="{C3380CC4-5D6E-409C-BE32-E72D297353CC}">
              <c16:uniqueId val="{00000009-4B15-4976-ACDD-41EF05875137}"/>
            </c:ext>
          </c:extLst>
        </c:ser>
        <c:dLbls>
          <c:showLegendKey val="0"/>
          <c:showVal val="1"/>
          <c:showCatName val="0"/>
          <c:showSerName val="0"/>
          <c:showPercent val="0"/>
          <c:showBubbleSize val="0"/>
          <c:showLeaderLines val="1"/>
        </c:dLbls>
        <c:firstSliceAng val="0"/>
        <c:holeSize val="86"/>
      </c:doughnutChart>
      <c:spPr>
        <a:noFill/>
        <a:ln>
          <a:noFill/>
        </a:ln>
        <a:effectLst/>
      </c:spPr>
    </c:plotArea>
    <c:legend>
      <c:legendPos val="r"/>
      <c:layout>
        <c:manualLayout>
          <c:xMode val="edge"/>
          <c:yMode val="edge"/>
          <c:x val="0.64956307365938082"/>
          <c:y val="0.24206204679743104"/>
          <c:w val="0.23673371132608503"/>
          <c:h val="0.6033072310805954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management.xlsm]pivottable!PivotTable29</c:name>
    <c:fmtId val="3"/>
  </c:pivotSource>
  <c:chart>
    <c:autoTitleDeleted val="1"/>
    <c:pivotFmts>
      <c:pivotFmt>
        <c:idx val="0"/>
        <c:spPr>
          <a:solidFill>
            <a:srgbClr val="6A4C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A4C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A4C93">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445976410010813"/>
          <c:y val="7.4285711247133193E-2"/>
          <c:w val="0.69509015976388433"/>
          <c:h val="0.85142857750573364"/>
        </c:manualLayout>
      </c:layout>
      <c:barChart>
        <c:barDir val="bar"/>
        <c:grouping val="clustered"/>
        <c:varyColors val="0"/>
        <c:ser>
          <c:idx val="0"/>
          <c:order val="0"/>
          <c:tx>
            <c:strRef>
              <c:f>pivottable!$Z$2</c:f>
              <c:strCache>
                <c:ptCount val="1"/>
                <c:pt idx="0">
                  <c:v>Total</c:v>
                </c:pt>
              </c:strCache>
            </c:strRef>
          </c:tx>
          <c:spPr>
            <a:solidFill>
              <a:srgbClr val="6A4C93">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pivottable!$Y$3:$Y$6</c:f>
              <c:strCache>
                <c:ptCount val="3"/>
                <c:pt idx="0">
                  <c:v>In Stock</c:v>
                </c:pt>
                <c:pt idx="1">
                  <c:v>Low Stock</c:v>
                </c:pt>
                <c:pt idx="2">
                  <c:v>Out of Stock</c:v>
                </c:pt>
              </c:strCache>
            </c:strRef>
          </c:cat>
          <c:val>
            <c:numRef>
              <c:f>pivottable!$Z$3:$Z$6</c:f>
              <c:numCache>
                <c:formatCode>General</c:formatCode>
                <c:ptCount val="3"/>
                <c:pt idx="0">
                  <c:v>33</c:v>
                </c:pt>
                <c:pt idx="1">
                  <c:v>9</c:v>
                </c:pt>
                <c:pt idx="2">
                  <c:v>19</c:v>
                </c:pt>
              </c:numCache>
            </c:numRef>
          </c:val>
          <c:extLst>
            <c:ext xmlns:c16="http://schemas.microsoft.com/office/drawing/2014/chart" uri="{C3380CC4-5D6E-409C-BE32-E72D297353CC}">
              <c16:uniqueId val="{00000001-E152-4228-8E8C-1B350D5797D8}"/>
            </c:ext>
          </c:extLst>
        </c:ser>
        <c:dLbls>
          <c:dLblPos val="outEnd"/>
          <c:showLegendKey val="0"/>
          <c:showVal val="1"/>
          <c:showCatName val="0"/>
          <c:showSerName val="0"/>
          <c:showPercent val="0"/>
          <c:showBubbleSize val="0"/>
        </c:dLbls>
        <c:gapWidth val="212"/>
        <c:axId val="389707152"/>
        <c:axId val="389708400"/>
      </c:barChart>
      <c:catAx>
        <c:axId val="38970715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89708400"/>
        <c:crosses val="autoZero"/>
        <c:auto val="1"/>
        <c:lblAlgn val="ctr"/>
        <c:lblOffset val="100"/>
        <c:noMultiLvlLbl val="0"/>
      </c:catAx>
      <c:valAx>
        <c:axId val="389708400"/>
        <c:scaling>
          <c:orientation val="minMax"/>
        </c:scaling>
        <c:delete val="1"/>
        <c:axPos val="b"/>
        <c:numFmt formatCode="General" sourceLinked="1"/>
        <c:majorTickMark val="none"/>
        <c:minorTickMark val="none"/>
        <c:tickLblPos val="nextTo"/>
        <c:crossAx val="3897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management.xlsm]pivottable!PivotTable28</c:name>
    <c:fmtId val="2"/>
  </c:pivotSource>
  <c:chart>
    <c:autoTitleDeleted val="1"/>
    <c:pivotFmts>
      <c:pivotFmt>
        <c:idx val="0"/>
        <c:spPr>
          <a:solidFill>
            <a:srgbClr val="6A4C93">
              <a:alpha val="79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A4C93">
              <a:alpha val="79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A4C93">
              <a:alpha val="79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196524945694499"/>
          <c:y val="6.194946130132005E-2"/>
          <c:w val="0.69458413060192636"/>
          <c:h val="0.87610107739735987"/>
        </c:manualLayout>
      </c:layout>
      <c:barChart>
        <c:barDir val="bar"/>
        <c:grouping val="clustered"/>
        <c:varyColors val="0"/>
        <c:ser>
          <c:idx val="0"/>
          <c:order val="0"/>
          <c:tx>
            <c:strRef>
              <c:f>pivottable!$W$2</c:f>
              <c:strCache>
                <c:ptCount val="1"/>
                <c:pt idx="0">
                  <c:v>Total</c:v>
                </c:pt>
              </c:strCache>
            </c:strRef>
          </c:tx>
          <c:spPr>
            <a:solidFill>
              <a:srgbClr val="6A4C93">
                <a:alpha val="79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pivottable!$V$3:$V$13</c:f>
              <c:strCache>
                <c:ptCount val="10"/>
                <c:pt idx="0">
                  <c:v>wish</c:v>
                </c:pt>
                <c:pt idx="1">
                  <c:v>Bare vanilla</c:v>
                </c:pt>
                <c:pt idx="2">
                  <c:v>Energy</c:v>
                </c:pt>
                <c:pt idx="3">
                  <c:v>Dynamo</c:v>
                </c:pt>
                <c:pt idx="4">
                  <c:v>Sensitive</c:v>
                </c:pt>
                <c:pt idx="5">
                  <c:v>maple</c:v>
                </c:pt>
                <c:pt idx="6">
                  <c:v>No.814</c:v>
                </c:pt>
                <c:pt idx="7">
                  <c:v>apple</c:v>
                </c:pt>
                <c:pt idx="8">
                  <c:v>Aura</c:v>
                </c:pt>
                <c:pt idx="9">
                  <c:v>homme</c:v>
                </c:pt>
              </c:strCache>
            </c:strRef>
          </c:cat>
          <c:val>
            <c:numRef>
              <c:f>pivottable!$W$3:$W$13</c:f>
              <c:numCache>
                <c:formatCode>General</c:formatCode>
                <c:ptCount val="10"/>
                <c:pt idx="0">
                  <c:v>42</c:v>
                </c:pt>
                <c:pt idx="1">
                  <c:v>34</c:v>
                </c:pt>
                <c:pt idx="2">
                  <c:v>32</c:v>
                </c:pt>
                <c:pt idx="3">
                  <c:v>24</c:v>
                </c:pt>
                <c:pt idx="4">
                  <c:v>24</c:v>
                </c:pt>
                <c:pt idx="5">
                  <c:v>24</c:v>
                </c:pt>
                <c:pt idx="6">
                  <c:v>22</c:v>
                </c:pt>
                <c:pt idx="7">
                  <c:v>20</c:v>
                </c:pt>
                <c:pt idx="8">
                  <c:v>20</c:v>
                </c:pt>
                <c:pt idx="9">
                  <c:v>20</c:v>
                </c:pt>
              </c:numCache>
            </c:numRef>
          </c:val>
          <c:extLst>
            <c:ext xmlns:c16="http://schemas.microsoft.com/office/drawing/2014/chart" uri="{C3380CC4-5D6E-409C-BE32-E72D297353CC}">
              <c16:uniqueId val="{00000001-18A8-4598-BB39-50B412FB1418}"/>
            </c:ext>
          </c:extLst>
        </c:ser>
        <c:dLbls>
          <c:dLblPos val="outEnd"/>
          <c:showLegendKey val="0"/>
          <c:showVal val="1"/>
          <c:showCatName val="0"/>
          <c:showSerName val="0"/>
          <c:showPercent val="0"/>
          <c:showBubbleSize val="0"/>
        </c:dLbls>
        <c:gapWidth val="112"/>
        <c:axId val="389706736"/>
        <c:axId val="389708816"/>
      </c:barChart>
      <c:catAx>
        <c:axId val="38970673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89708816"/>
        <c:crosses val="autoZero"/>
        <c:auto val="1"/>
        <c:lblAlgn val="ctr"/>
        <c:lblOffset val="100"/>
        <c:noMultiLvlLbl val="0"/>
      </c:catAx>
      <c:valAx>
        <c:axId val="389708816"/>
        <c:scaling>
          <c:orientation val="minMax"/>
        </c:scaling>
        <c:delete val="1"/>
        <c:axPos val="b"/>
        <c:numFmt formatCode="General" sourceLinked="1"/>
        <c:majorTickMark val="none"/>
        <c:minorTickMark val="none"/>
        <c:tickLblPos val="nextTo"/>
        <c:crossAx val="38970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[PERFUME INVENTORY management.xlsm]pivottable!PivotTable26</c:name>
    <c:fmtId val="2"/>
  </c:pivotSource>
  <c:chart>
    <c:autoTitleDeleted val="1"/>
    <c:pivotFmts>
      <c:pivotFmt>
        <c:idx val="0"/>
        <c:spPr>
          <a:solidFill>
            <a:srgbClr val="6A4C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A4C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A4C9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6A4C93">
              <a:alpha val="74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103669617811559"/>
          <c:y val="5.5555555555555552E-2"/>
          <c:w val="0.55922588639340887"/>
          <c:h val="0.89814814814814814"/>
        </c:manualLayout>
      </c:layout>
      <c:barChart>
        <c:barDir val="bar"/>
        <c:grouping val="clustered"/>
        <c:varyColors val="0"/>
        <c:ser>
          <c:idx val="0"/>
          <c:order val="0"/>
          <c:tx>
            <c:strRef>
              <c:f>pivottable!$N$2</c:f>
              <c:strCache>
                <c:ptCount val="1"/>
                <c:pt idx="0">
                  <c:v>Total</c:v>
                </c:pt>
              </c:strCache>
            </c:strRef>
          </c:tx>
          <c:spPr>
            <a:solidFill>
              <a:srgbClr val="6A4C93">
                <a:alpha val="74000"/>
              </a:srgbClr>
            </a:solidFill>
            <a:ln>
              <a:noFill/>
            </a:ln>
            <a:effectLst/>
          </c:spPr>
          <c:invertIfNegative val="0"/>
          <c:cat>
            <c:strRef>
              <c:f>pivottable!$M$3:$M$11</c:f>
              <c:strCache>
                <c:ptCount val="8"/>
                <c:pt idx="0">
                  <c:v>citrus</c:v>
                </c:pt>
                <c:pt idx="1">
                  <c:v>No.359</c:v>
                </c:pt>
                <c:pt idx="2">
                  <c:v>Dynamo</c:v>
                </c:pt>
                <c:pt idx="3">
                  <c:v>Voyage</c:v>
                </c:pt>
                <c:pt idx="4">
                  <c:v>Patrol</c:v>
                </c:pt>
                <c:pt idx="5">
                  <c:v>vanilla</c:v>
                </c:pt>
                <c:pt idx="6">
                  <c:v>Joy</c:v>
                </c:pt>
                <c:pt idx="7">
                  <c:v>No.06</c:v>
                </c:pt>
              </c:strCache>
            </c:strRef>
          </c:cat>
          <c:val>
            <c:numRef>
              <c:f>pivottable!$N$3:$N$11</c:f>
              <c:numCache>
                <c:formatCode>General</c:formatCode>
                <c:ptCount val="8"/>
                <c:pt idx="0">
                  <c:v>1</c:v>
                </c:pt>
                <c:pt idx="1">
                  <c:v>2</c:v>
                </c:pt>
                <c:pt idx="2">
                  <c:v>2</c:v>
                </c:pt>
                <c:pt idx="3">
                  <c:v>5</c:v>
                </c:pt>
                <c:pt idx="4">
                  <c:v>10</c:v>
                </c:pt>
                <c:pt idx="5">
                  <c:v>10</c:v>
                </c:pt>
                <c:pt idx="6">
                  <c:v>12</c:v>
                </c:pt>
                <c:pt idx="7">
                  <c:v>20</c:v>
                </c:pt>
              </c:numCache>
            </c:numRef>
          </c:val>
          <c:extLst>
            <c:ext xmlns:c16="http://schemas.microsoft.com/office/drawing/2014/chart" uri="{C3380CC4-5D6E-409C-BE32-E72D297353CC}">
              <c16:uniqueId val="{00000001-8F35-4B1F-AB66-4B3AE8AB649C}"/>
            </c:ext>
          </c:extLst>
        </c:ser>
        <c:dLbls>
          <c:showLegendKey val="0"/>
          <c:showVal val="0"/>
          <c:showCatName val="0"/>
          <c:showSerName val="0"/>
          <c:showPercent val="0"/>
          <c:showBubbleSize val="0"/>
        </c:dLbls>
        <c:gapWidth val="212"/>
        <c:axId val="1439785920"/>
        <c:axId val="1439780096"/>
      </c:barChart>
      <c:catAx>
        <c:axId val="1439785920"/>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439780096"/>
        <c:crosses val="autoZero"/>
        <c:auto val="1"/>
        <c:lblAlgn val="ctr"/>
        <c:lblOffset val="100"/>
        <c:noMultiLvlLbl val="0"/>
      </c:catAx>
      <c:valAx>
        <c:axId val="1439780096"/>
        <c:scaling>
          <c:orientation val="minMax"/>
        </c:scaling>
        <c:delete val="1"/>
        <c:axPos val="t"/>
        <c:numFmt formatCode="General" sourceLinked="1"/>
        <c:majorTickMark val="none"/>
        <c:minorTickMark val="none"/>
        <c:tickLblPos val="nextTo"/>
        <c:crossAx val="1439785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26" Type="http://schemas.openxmlformats.org/officeDocument/2006/relationships/chart" Target="../charts/chart2.xml"/><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5" Type="http://schemas.openxmlformats.org/officeDocument/2006/relationships/chart" Target="../charts/chart1.xml"/><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29" Type="http://schemas.openxmlformats.org/officeDocument/2006/relationships/chart" Target="../charts/chart5.xml"/><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28" Type="http://schemas.openxmlformats.org/officeDocument/2006/relationships/chart" Target="../charts/chart4.xml"/><Relationship Id="rId10" Type="http://schemas.openxmlformats.org/officeDocument/2006/relationships/image" Target="../media/image2.svg"/><Relationship Id="rId19" Type="http://schemas.openxmlformats.org/officeDocument/2006/relationships/image" Target="../media/image11.png"/><Relationship Id="rId31" Type="http://schemas.openxmlformats.org/officeDocument/2006/relationships/image" Target="../media/image17.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 Id="rId27" Type="http://schemas.openxmlformats.org/officeDocument/2006/relationships/chart" Target="../charts/chart3.xml"/><Relationship Id="rId30"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3.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4.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5.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6.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7.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_rels/drawing8.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hyperlink" Target="#Sales!A1"/><Relationship Id="rId21" Type="http://schemas.openxmlformats.org/officeDocument/2006/relationships/image" Target="../media/image13.png"/><Relationship Id="rId7" Type="http://schemas.openxmlformats.org/officeDocument/2006/relationships/hyperlink" Target="#Inventory!A1"/><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hyperlink" Target="#Products!A1"/><Relationship Id="rId16" Type="http://schemas.openxmlformats.org/officeDocument/2006/relationships/image" Target="../media/image8.svg"/><Relationship Id="rId20" Type="http://schemas.openxmlformats.org/officeDocument/2006/relationships/image" Target="../media/image12.svg"/><Relationship Id="rId1" Type="http://schemas.openxmlformats.org/officeDocument/2006/relationships/hyperlink" Target="#'Entry Form'!A1"/><Relationship Id="rId6" Type="http://schemas.openxmlformats.org/officeDocument/2006/relationships/hyperlink" Target="#Vendors!A1"/><Relationship Id="rId11" Type="http://schemas.openxmlformats.org/officeDocument/2006/relationships/image" Target="../media/image3.png"/><Relationship Id="rId24" Type="http://schemas.openxmlformats.org/officeDocument/2006/relationships/image" Target="../media/image16.svg"/><Relationship Id="rId5" Type="http://schemas.openxmlformats.org/officeDocument/2006/relationships/hyperlink" Target="#Customers!A1"/><Relationship Id="rId15" Type="http://schemas.openxmlformats.org/officeDocument/2006/relationships/image" Target="../media/image7.png"/><Relationship Id="rId23" Type="http://schemas.openxmlformats.org/officeDocument/2006/relationships/image" Target="../media/image15.png"/><Relationship Id="rId10" Type="http://schemas.openxmlformats.org/officeDocument/2006/relationships/image" Target="../media/image2.svg"/><Relationship Id="rId19" Type="http://schemas.openxmlformats.org/officeDocument/2006/relationships/image" Target="../media/image11.png"/><Relationship Id="rId4" Type="http://schemas.openxmlformats.org/officeDocument/2006/relationships/hyperlink" Target="#Purchases!A1"/><Relationship Id="rId9" Type="http://schemas.openxmlformats.org/officeDocument/2006/relationships/image" Target="../media/image1.png"/><Relationship Id="rId14" Type="http://schemas.openxmlformats.org/officeDocument/2006/relationships/image" Target="../media/image6.svg"/><Relationship Id="rId22"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0</xdr:col>
      <xdr:colOff>158750</xdr:colOff>
      <xdr:row>0</xdr:row>
      <xdr:rowOff>102972</xdr:rowOff>
    </xdr:from>
    <xdr:to>
      <xdr:col>1</xdr:col>
      <xdr:colOff>1231900</xdr:colOff>
      <xdr:row>37</xdr:row>
      <xdr:rowOff>188783</xdr:rowOff>
    </xdr:to>
    <xdr:sp macro="" textlink="">
      <xdr:nvSpPr>
        <xdr:cNvPr id="53" name="Rectangle 52">
          <a:extLst>
            <a:ext uri="{FF2B5EF4-FFF2-40B4-BE49-F238E27FC236}">
              <a16:creationId xmlns:a16="http://schemas.microsoft.com/office/drawing/2014/main" id="{00000000-0008-0000-0000-000035000000}"/>
            </a:ext>
          </a:extLst>
        </xdr:cNvPr>
        <xdr:cNvSpPr/>
      </xdr:nvSpPr>
      <xdr:spPr>
        <a:xfrm>
          <a:off x="158750" y="102972"/>
          <a:ext cx="1682407" cy="7070811"/>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00000000-0008-0000-0000-000036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55" name="Rectangle: Rounded Corners 54">
          <a:hlinkClick xmlns:r="http://schemas.openxmlformats.org/officeDocument/2006/relationships" r:id="rId2"/>
          <a:extLst>
            <a:ext uri="{FF2B5EF4-FFF2-40B4-BE49-F238E27FC236}">
              <a16:creationId xmlns:a16="http://schemas.microsoft.com/office/drawing/2014/main" id="{00000000-0008-0000-0000-000037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56" name="Rectangle: Rounded Corners 55">
          <a:hlinkClick xmlns:r="http://schemas.openxmlformats.org/officeDocument/2006/relationships" r:id="rId3"/>
          <a:extLst>
            <a:ext uri="{FF2B5EF4-FFF2-40B4-BE49-F238E27FC236}">
              <a16:creationId xmlns:a16="http://schemas.microsoft.com/office/drawing/2014/main" id="{00000000-0008-0000-0000-000038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57" name="Rectangle: Rounded Corners 56">
          <a:hlinkClick xmlns:r="http://schemas.openxmlformats.org/officeDocument/2006/relationships" r:id="rId4"/>
          <a:extLst>
            <a:ext uri="{FF2B5EF4-FFF2-40B4-BE49-F238E27FC236}">
              <a16:creationId xmlns:a16="http://schemas.microsoft.com/office/drawing/2014/main" id="{00000000-0008-0000-0000-000039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58" name="Rectangle: Rounded Corners 57">
          <a:hlinkClick xmlns:r="http://schemas.openxmlformats.org/officeDocument/2006/relationships" r:id="rId5"/>
          <a:extLst>
            <a:ext uri="{FF2B5EF4-FFF2-40B4-BE49-F238E27FC236}">
              <a16:creationId xmlns:a16="http://schemas.microsoft.com/office/drawing/2014/main" id="{00000000-0008-0000-0000-00003A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59" name="Rectangle: Rounded Corners 58">
          <a:hlinkClick xmlns:r="http://schemas.openxmlformats.org/officeDocument/2006/relationships" r:id="rId6"/>
          <a:extLst>
            <a:ext uri="{FF2B5EF4-FFF2-40B4-BE49-F238E27FC236}">
              <a16:creationId xmlns:a16="http://schemas.microsoft.com/office/drawing/2014/main" id="{00000000-0008-0000-0000-00003B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60" name="Rectangle: Rounded Corners 59">
          <a:hlinkClick xmlns:r="http://schemas.openxmlformats.org/officeDocument/2006/relationships" r:id="rId7"/>
          <a:extLst>
            <a:ext uri="{FF2B5EF4-FFF2-40B4-BE49-F238E27FC236}">
              <a16:creationId xmlns:a16="http://schemas.microsoft.com/office/drawing/2014/main" id="{00000000-0008-0000-0000-00003C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61" name="Rectangle: Rounded Corners 60">
          <a:hlinkClick xmlns:r="http://schemas.openxmlformats.org/officeDocument/2006/relationships" r:id="rId8"/>
          <a:extLst>
            <a:ext uri="{FF2B5EF4-FFF2-40B4-BE49-F238E27FC236}">
              <a16:creationId xmlns:a16="http://schemas.microsoft.com/office/drawing/2014/main" id="{00000000-0008-0000-0000-00003D000000}"/>
            </a:ext>
          </a:extLst>
        </xdr:cNvPr>
        <xdr:cNvSpPr/>
      </xdr:nvSpPr>
      <xdr:spPr>
        <a:xfrm>
          <a:off x="609257" y="780535"/>
          <a:ext cx="984250" cy="296734"/>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100</xdr:rowOff>
    </xdr:to>
    <xdr:pic>
      <xdr:nvPicPr>
        <xdr:cNvPr id="62" name="Graphic 61" descr="Books with solid fill">
          <a:extLst>
            <a:ext uri="{FF2B5EF4-FFF2-40B4-BE49-F238E27FC236}">
              <a16:creationId xmlns:a16="http://schemas.microsoft.com/office/drawing/2014/main" id="{00000000-0008-0000-0000-00003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63" name="Graphic 62" descr="Bar graph with upward trend with solid fill">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64" name="Graphic 63" descr="Presentation with bar chart with solid fill">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65" name="Graphic 64" descr="User with solid fill">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66" name="Graphic 65" descr="Shopping cart with solid fill">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67" name="Graphic 66" descr="Male profile with solid fill">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68" name="Graphic 67" descr="Coins with solid fill">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6450</xdr:rowOff>
    </xdr:to>
    <xdr:pic>
      <xdr:nvPicPr>
        <xdr:cNvPr id="69" name="Graphic 68" descr="Open book with solid fill">
          <a:extLst>
            <a:ext uri="{FF2B5EF4-FFF2-40B4-BE49-F238E27FC236}">
              <a16:creationId xmlns:a16="http://schemas.microsoft.com/office/drawing/2014/main" id="{00000000-0008-0000-0000-000045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2</xdr:col>
      <xdr:colOff>188783</xdr:colOff>
      <xdr:row>0</xdr:row>
      <xdr:rowOff>90714</xdr:rowOff>
    </xdr:from>
    <xdr:to>
      <xdr:col>24</xdr:col>
      <xdr:colOff>226785</xdr:colOff>
      <xdr:row>33</xdr:row>
      <xdr:rowOff>36286</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033715" y="90714"/>
          <a:ext cx="13106989" cy="6175437"/>
        </a:xfrm>
        <a:prstGeom prst="roundRect">
          <a:avLst>
            <a:gd name="adj" fmla="val 2996"/>
          </a:avLst>
        </a:prstGeom>
        <a:solidFill>
          <a:srgbClr val="EFE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2</xdr:row>
      <xdr:rowOff>120135</xdr:rowOff>
    </xdr:from>
    <xdr:to>
      <xdr:col>5</xdr:col>
      <xdr:colOff>309798</xdr:colOff>
      <xdr:row>6</xdr:row>
      <xdr:rowOff>91752</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2119527" y="497703"/>
          <a:ext cx="1528312" cy="72675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262237</xdr:colOff>
      <xdr:row>2</xdr:row>
      <xdr:rowOff>103420</xdr:rowOff>
    </xdr:from>
    <xdr:to>
      <xdr:col>10</xdr:col>
      <xdr:colOff>463379</xdr:colOff>
      <xdr:row>6</xdr:row>
      <xdr:rowOff>108473</xdr:rowOff>
    </xdr:to>
    <xdr:sp macr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5428048" y="480988"/>
          <a:ext cx="1419655" cy="76018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240271</xdr:colOff>
      <xdr:row>6</xdr:row>
      <xdr:rowOff>182468</xdr:rowOff>
    </xdr:from>
    <xdr:to>
      <xdr:col>5</xdr:col>
      <xdr:colOff>325641</xdr:colOff>
      <xdr:row>10</xdr:row>
      <xdr:rowOff>162819</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2085203" y="1315171"/>
          <a:ext cx="1578479" cy="735486"/>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455896</xdr:colOff>
      <xdr:row>6</xdr:row>
      <xdr:rowOff>154118</xdr:rowOff>
    </xdr:from>
    <xdr:to>
      <xdr:col>8</xdr:col>
      <xdr:colOff>106955</xdr:colOff>
      <xdr:row>10</xdr:row>
      <xdr:rowOff>168716</xdr:rowOff>
    </xdr:to>
    <xdr:sp macro="" textlink="">
      <xdr:nvSpPr>
        <xdr:cNvPr id="23" name="Rectangle: Rounded Corners 22">
          <a:extLst>
            <a:ext uri="{FF2B5EF4-FFF2-40B4-BE49-F238E27FC236}">
              <a16:creationId xmlns:a16="http://schemas.microsoft.com/office/drawing/2014/main" id="{00000000-0008-0000-0000-000017000000}"/>
            </a:ext>
          </a:extLst>
        </xdr:cNvPr>
        <xdr:cNvSpPr/>
      </xdr:nvSpPr>
      <xdr:spPr>
        <a:xfrm>
          <a:off x="3801858" y="1277580"/>
          <a:ext cx="1482789" cy="76357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272841</xdr:colOff>
      <xdr:row>6</xdr:row>
      <xdr:rowOff>180202</xdr:rowOff>
    </xdr:from>
    <xdr:to>
      <xdr:col>10</xdr:col>
      <xdr:colOff>480786</xdr:colOff>
      <xdr:row>10</xdr:row>
      <xdr:rowOff>130491</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5438652" y="1312905"/>
          <a:ext cx="1426458" cy="70542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588663</xdr:colOff>
      <xdr:row>2</xdr:row>
      <xdr:rowOff>93193</xdr:rowOff>
    </xdr:from>
    <xdr:to>
      <xdr:col>13</xdr:col>
      <xdr:colOff>71592</xdr:colOff>
      <xdr:row>6</xdr:row>
      <xdr:rowOff>114496</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6972987" y="470761"/>
          <a:ext cx="1310700" cy="77643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430153</xdr:colOff>
      <xdr:row>2</xdr:row>
      <xdr:rowOff>109794</xdr:rowOff>
    </xdr:from>
    <xdr:to>
      <xdr:col>8</xdr:col>
      <xdr:colOff>71949</xdr:colOff>
      <xdr:row>6</xdr:row>
      <xdr:rowOff>109794</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3768194" y="487362"/>
          <a:ext cx="1469566" cy="75513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172358</xdr:colOff>
      <xdr:row>8</xdr:row>
      <xdr:rowOff>108857</xdr:rowOff>
    </xdr:from>
    <xdr:to>
      <xdr:col>19</xdr:col>
      <xdr:colOff>298429</xdr:colOff>
      <xdr:row>32</xdr:row>
      <xdr:rowOff>154214</xdr:rowOff>
    </xdr:to>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8372929" y="1632857"/>
          <a:ext cx="3772786" cy="4617357"/>
        </a:xfrm>
        <a:prstGeom prst="roundRect">
          <a:avLst>
            <a:gd name="adj" fmla="val 241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271830</xdr:colOff>
      <xdr:row>11</xdr:row>
      <xdr:rowOff>36286</xdr:rowOff>
    </xdr:from>
    <xdr:to>
      <xdr:col>13</xdr:col>
      <xdr:colOff>99786</xdr:colOff>
      <xdr:row>32</xdr:row>
      <xdr:rowOff>163286</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5433473" y="2131786"/>
          <a:ext cx="2866884" cy="4127500"/>
        </a:xfrm>
        <a:prstGeom prst="roundRect">
          <a:avLst>
            <a:gd name="adj" fmla="val 312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223110</xdr:colOff>
      <xdr:row>11</xdr:row>
      <xdr:rowOff>67311</xdr:rowOff>
    </xdr:from>
    <xdr:to>
      <xdr:col>8</xdr:col>
      <xdr:colOff>130839</xdr:colOff>
      <xdr:row>32</xdr:row>
      <xdr:rowOff>172357</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2068042" y="2143933"/>
          <a:ext cx="3228608" cy="4069505"/>
        </a:xfrm>
        <a:prstGeom prst="roundRect">
          <a:avLst>
            <a:gd name="adj" fmla="val 154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94075</xdr:colOff>
      <xdr:row>12</xdr:row>
      <xdr:rowOff>133271</xdr:rowOff>
    </xdr:from>
    <xdr:to>
      <xdr:col>8</xdr:col>
      <xdr:colOff>109753</xdr:colOff>
      <xdr:row>20</xdr:row>
      <xdr:rowOff>125432</xdr:rowOff>
    </xdr:to>
    <xdr:graphicFrame macro="">
      <xdr:nvGraphicFramePr>
        <xdr:cNvPr id="30" name="Chart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oneCellAnchor>
    <xdr:from>
      <xdr:col>2</xdr:col>
      <xdr:colOff>186560</xdr:colOff>
      <xdr:row>11</xdr:row>
      <xdr:rowOff>46296</xdr:rowOff>
    </xdr:from>
    <xdr:ext cx="1402563" cy="280205"/>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31492" y="2122918"/>
          <a:ext cx="140256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a:t>Revenue by Month</a:t>
          </a:r>
        </a:p>
      </xdr:txBody>
    </xdr:sp>
    <xdr:clientData/>
  </xdr:oneCellAnchor>
  <xdr:twoCellAnchor>
    <xdr:from>
      <xdr:col>13</xdr:col>
      <xdr:colOff>226787</xdr:colOff>
      <xdr:row>10</xdr:row>
      <xdr:rowOff>72571</xdr:rowOff>
    </xdr:from>
    <xdr:to>
      <xdr:col>19</xdr:col>
      <xdr:colOff>371928</xdr:colOff>
      <xdr:row>21</xdr:row>
      <xdr:rowOff>90714</xdr:rowOff>
    </xdr:to>
    <xdr:graphicFrame macro="">
      <xdr:nvGraphicFramePr>
        <xdr:cNvPr id="32" name="Chart 31">
          <a:extLst>
            <a:ext uri="{FF2B5EF4-FFF2-40B4-BE49-F238E27FC236}">
              <a16:creationId xmlns:a16="http://schemas.microsoft.com/office/drawing/2014/main" id="{00000000-0008-0000-00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oneCellAnchor>
    <xdr:from>
      <xdr:col>13</xdr:col>
      <xdr:colOff>223048</xdr:colOff>
      <xdr:row>8</xdr:row>
      <xdr:rowOff>76918</xdr:rowOff>
    </xdr:from>
    <xdr:ext cx="1782667" cy="280205"/>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8435143" y="1587188"/>
          <a:ext cx="178266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a:t>Most</a:t>
          </a:r>
          <a:r>
            <a:rPr lang="en-US" sz="1200" b="1" i="0" baseline="0"/>
            <a:t> Profitable Products</a:t>
          </a:r>
          <a:endParaRPr lang="en-US" sz="1200" b="1" i="0"/>
        </a:p>
      </xdr:txBody>
    </xdr:sp>
    <xdr:clientData/>
  </xdr:oneCellAnchor>
  <xdr:twoCellAnchor>
    <xdr:from>
      <xdr:col>19</xdr:col>
      <xdr:colOff>422401</xdr:colOff>
      <xdr:row>8</xdr:row>
      <xdr:rowOff>108857</xdr:rowOff>
    </xdr:from>
    <xdr:to>
      <xdr:col>24</xdr:col>
      <xdr:colOff>117928</xdr:colOff>
      <xdr:row>32</xdr:row>
      <xdr:rowOff>126069</xdr:rowOff>
    </xdr:to>
    <xdr:sp macro="" textlink="">
      <xdr:nvSpPr>
        <xdr:cNvPr id="34" name="Rectangle: Rounded Corners 33">
          <a:extLst>
            <a:ext uri="{FF2B5EF4-FFF2-40B4-BE49-F238E27FC236}">
              <a16:creationId xmlns:a16="http://schemas.microsoft.com/office/drawing/2014/main" id="{00000000-0008-0000-0000-000022000000}"/>
            </a:ext>
          </a:extLst>
        </xdr:cNvPr>
        <xdr:cNvSpPr/>
      </xdr:nvSpPr>
      <xdr:spPr>
        <a:xfrm>
          <a:off x="12269687" y="1632857"/>
          <a:ext cx="2734455" cy="4589212"/>
        </a:xfrm>
        <a:prstGeom prst="roundRect">
          <a:avLst>
            <a:gd name="adj" fmla="val 241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250261</xdr:colOff>
      <xdr:row>20</xdr:row>
      <xdr:rowOff>136890</xdr:rowOff>
    </xdr:from>
    <xdr:ext cx="1848583" cy="280205"/>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2095193" y="3912566"/>
          <a:ext cx="184858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a:t>Sales</a:t>
          </a:r>
          <a:r>
            <a:rPr lang="en-US" sz="1200" b="1" i="0" baseline="0"/>
            <a:t> channel perfomance</a:t>
          </a:r>
          <a:endParaRPr lang="en-US" sz="1200" b="1" i="0"/>
        </a:p>
      </xdr:txBody>
    </xdr:sp>
    <xdr:clientData/>
  </xdr:oneCellAnchor>
  <xdr:twoCellAnchor>
    <xdr:from>
      <xdr:col>2</xdr:col>
      <xdr:colOff>240271</xdr:colOff>
      <xdr:row>22</xdr:row>
      <xdr:rowOff>111554</xdr:rowOff>
    </xdr:from>
    <xdr:to>
      <xdr:col>8</xdr:col>
      <xdr:colOff>109753</xdr:colOff>
      <xdr:row>32</xdr:row>
      <xdr:rowOff>127000</xdr:rowOff>
    </xdr:to>
    <xdr:graphicFrame macro="">
      <xdr:nvGraphicFramePr>
        <xdr:cNvPr id="36" name="Chart 35">
          <a:extLst>
            <a:ext uri="{FF2B5EF4-FFF2-40B4-BE49-F238E27FC236}">
              <a16:creationId xmlns:a16="http://schemas.microsoft.com/office/drawing/2014/main" id="{00000000-0008-0000-00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13</xdr:col>
      <xdr:colOff>190501</xdr:colOff>
      <xdr:row>23</xdr:row>
      <xdr:rowOff>72571</xdr:rowOff>
    </xdr:from>
    <xdr:to>
      <xdr:col>19</xdr:col>
      <xdr:colOff>235858</xdr:colOff>
      <xdr:row>32</xdr:row>
      <xdr:rowOff>90714</xdr:rowOff>
    </xdr:to>
    <xdr:graphicFrame macro="">
      <xdr:nvGraphicFramePr>
        <xdr:cNvPr id="37" name="Chart 36">
          <a:extLst>
            <a:ext uri="{FF2B5EF4-FFF2-40B4-BE49-F238E27FC236}">
              <a16:creationId xmlns:a16="http://schemas.microsoft.com/office/drawing/2014/main" id="{00000000-0008-0000-0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oneCellAnchor>
    <xdr:from>
      <xdr:col>13</xdr:col>
      <xdr:colOff>130549</xdr:colOff>
      <xdr:row>22</xdr:row>
      <xdr:rowOff>11423</xdr:rowOff>
    </xdr:from>
    <xdr:ext cx="1238994" cy="280205"/>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342644" y="4164666"/>
          <a:ext cx="1238994"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a:solidFill>
                <a:schemeClr val="tx1"/>
              </a:solidFill>
            </a:rPr>
            <a:t>Inventory</a:t>
          </a:r>
          <a:r>
            <a:rPr lang="en-US" sz="1200" b="1" i="0" baseline="0">
              <a:solidFill>
                <a:schemeClr val="tx1"/>
              </a:solidFill>
            </a:rPr>
            <a:t> Status</a:t>
          </a:r>
          <a:endParaRPr lang="en-US" sz="1200" b="1" i="0">
            <a:solidFill>
              <a:schemeClr val="tx1"/>
            </a:solidFill>
          </a:endParaRPr>
        </a:p>
      </xdr:txBody>
    </xdr:sp>
    <xdr:clientData/>
  </xdr:oneCellAnchor>
  <xdr:twoCellAnchor>
    <xdr:from>
      <xdr:col>8</xdr:col>
      <xdr:colOff>335644</xdr:colOff>
      <xdr:row>13</xdr:row>
      <xdr:rowOff>27214</xdr:rowOff>
    </xdr:from>
    <xdr:to>
      <xdr:col>13</xdr:col>
      <xdr:colOff>36286</xdr:colOff>
      <xdr:row>32</xdr:row>
      <xdr:rowOff>128716</xdr:rowOff>
    </xdr:to>
    <xdr:graphicFrame macro="">
      <xdr:nvGraphicFramePr>
        <xdr:cNvPr id="39" name="Chart 38">
          <a:extLst>
            <a:ext uri="{FF2B5EF4-FFF2-40B4-BE49-F238E27FC236}">
              <a16:creationId xmlns:a16="http://schemas.microsoft.com/office/drawing/2014/main" id="{00000000-0008-0000-0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oneCellAnchor>
    <xdr:from>
      <xdr:col>8</xdr:col>
      <xdr:colOff>303136</xdr:colOff>
      <xdr:row>11</xdr:row>
      <xdr:rowOff>99580</xdr:rowOff>
    </xdr:from>
    <xdr:ext cx="2079737" cy="280205"/>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5464779" y="2195080"/>
          <a:ext cx="207973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a:t>Top</a:t>
          </a:r>
          <a:r>
            <a:rPr lang="en-US" sz="1200" b="1" i="0" baseline="0"/>
            <a:t> 10  product by Stock level</a:t>
          </a:r>
          <a:endParaRPr lang="en-US" sz="1200" b="1" i="0"/>
        </a:p>
      </xdr:txBody>
    </xdr:sp>
    <xdr:clientData/>
  </xdr:oneCellAnchor>
  <xdr:twoCellAnchor>
    <xdr:from>
      <xdr:col>19</xdr:col>
      <xdr:colOff>431475</xdr:colOff>
      <xdr:row>10</xdr:row>
      <xdr:rowOff>1</xdr:rowOff>
    </xdr:from>
    <xdr:to>
      <xdr:col>24</xdr:col>
      <xdr:colOff>63500</xdr:colOff>
      <xdr:row>32</xdr:row>
      <xdr:rowOff>90715</xdr:rowOff>
    </xdr:to>
    <xdr:graphicFrame macro="">
      <xdr:nvGraphicFramePr>
        <xdr:cNvPr id="42" name="Chart 41">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oneCellAnchor>
    <xdr:from>
      <xdr:col>3</xdr:col>
      <xdr:colOff>122115</xdr:colOff>
      <xdr:row>2</xdr:row>
      <xdr:rowOff>120135</xdr:rowOff>
    </xdr:from>
    <xdr:ext cx="1345151" cy="229929"/>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241642" y="497703"/>
          <a:ext cx="1345151" cy="2299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tx1">
                  <a:lumMod val="50000"/>
                  <a:lumOff val="50000"/>
                </a:schemeClr>
              </a:solidFill>
            </a:rPr>
            <a:t>Total Revenue</a:t>
          </a:r>
        </a:p>
      </xdr:txBody>
    </xdr:sp>
    <xdr:clientData/>
  </xdr:oneCellAnchor>
  <xdr:oneCellAnchor>
    <xdr:from>
      <xdr:col>3</xdr:col>
      <xdr:colOff>40706</xdr:colOff>
      <xdr:row>6</xdr:row>
      <xdr:rowOff>179103</xdr:rowOff>
    </xdr:from>
    <xdr:ext cx="1587499" cy="311496"/>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2165514" y="1302565"/>
          <a:ext cx="158749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lumMod val="50000"/>
                  <a:lumOff val="50000"/>
                </a:schemeClr>
              </a:solidFill>
            </a:rPr>
            <a:t>Current</a:t>
          </a:r>
          <a:r>
            <a:rPr lang="en-US" sz="1400" b="1" baseline="0">
              <a:solidFill>
                <a:schemeClr val="tx1">
                  <a:lumMod val="50000"/>
                  <a:lumOff val="50000"/>
                </a:schemeClr>
              </a:solidFill>
            </a:rPr>
            <a:t> stock Qty</a:t>
          </a:r>
          <a:endParaRPr lang="en-US" sz="1400" b="1">
            <a:solidFill>
              <a:schemeClr val="tx1">
                <a:lumMod val="50000"/>
                <a:lumOff val="50000"/>
              </a:schemeClr>
            </a:solidFill>
          </a:endParaRPr>
        </a:p>
      </xdr:txBody>
    </xdr:sp>
    <xdr:clientData/>
  </xdr:oneCellAnchor>
  <xdr:oneCellAnchor>
    <xdr:from>
      <xdr:col>8</xdr:col>
      <xdr:colOff>464040</xdr:colOff>
      <xdr:row>2</xdr:row>
      <xdr:rowOff>65129</xdr:rowOff>
    </xdr:from>
    <xdr:ext cx="1024639" cy="311496"/>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5641732" y="439616"/>
          <a:ext cx="102463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tx1">
                  <a:lumMod val="50000"/>
                  <a:lumOff val="50000"/>
                </a:schemeClr>
              </a:solidFill>
            </a:rPr>
            <a:t>Total Profit</a:t>
          </a:r>
        </a:p>
      </xdr:txBody>
    </xdr:sp>
    <xdr:clientData/>
  </xdr:oneCellAnchor>
  <xdr:oneCellAnchor>
    <xdr:from>
      <xdr:col>5</xdr:col>
      <xdr:colOff>553589</xdr:colOff>
      <xdr:row>6</xdr:row>
      <xdr:rowOff>162821</xdr:rowOff>
    </xdr:from>
    <xdr:ext cx="1168397" cy="311496"/>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899551" y="1286283"/>
          <a:ext cx="116839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tx1">
                  <a:lumMod val="50000"/>
                  <a:lumOff val="50000"/>
                </a:schemeClr>
              </a:solidFill>
            </a:rPr>
            <a:t>Profit</a:t>
          </a:r>
          <a:r>
            <a:rPr lang="en-US" sz="1400" b="1" baseline="0">
              <a:solidFill>
                <a:schemeClr val="tx1">
                  <a:lumMod val="50000"/>
                  <a:lumOff val="50000"/>
                </a:schemeClr>
              </a:solidFill>
            </a:rPr>
            <a:t> margin</a:t>
          </a:r>
        </a:p>
      </xdr:txBody>
    </xdr:sp>
    <xdr:clientData/>
  </xdr:oneCellAnchor>
  <xdr:oneCellAnchor>
    <xdr:from>
      <xdr:col>9</xdr:col>
      <xdr:colOff>42779</xdr:colOff>
      <xdr:row>7</xdr:row>
      <xdr:rowOff>4979</xdr:rowOff>
    </xdr:from>
    <xdr:ext cx="879231" cy="311496"/>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5817847" y="1326465"/>
          <a:ext cx="8792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lumMod val="50000"/>
                  <a:lumOff val="50000"/>
                </a:schemeClr>
              </a:solidFill>
            </a:rPr>
            <a:t>Coga</a:t>
          </a:r>
        </a:p>
      </xdr:txBody>
    </xdr:sp>
    <xdr:clientData/>
  </xdr:oneCellAnchor>
  <xdr:oneCellAnchor>
    <xdr:from>
      <xdr:col>11</xdr:col>
      <xdr:colOff>29359</xdr:colOff>
      <xdr:row>2</xdr:row>
      <xdr:rowOff>67870</xdr:rowOff>
    </xdr:from>
    <xdr:ext cx="1113062" cy="311496"/>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7022940" y="445438"/>
          <a:ext cx="1113062"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tx1">
                  <a:lumMod val="50000"/>
                  <a:lumOff val="50000"/>
                </a:schemeClr>
              </a:solidFill>
            </a:rPr>
            <a:t>Total Orders</a:t>
          </a:r>
        </a:p>
      </xdr:txBody>
    </xdr:sp>
    <xdr:clientData/>
  </xdr:oneCellAnchor>
  <xdr:oneCellAnchor>
    <xdr:from>
      <xdr:col>19</xdr:col>
      <xdr:colOff>477808</xdr:colOff>
      <xdr:row>2</xdr:row>
      <xdr:rowOff>179103</xdr:rowOff>
    </xdr:from>
    <xdr:ext cx="45719" cy="288984"/>
    <xdr:sp macro="" textlink="">
      <xdr:nvSpPr>
        <xdr:cNvPr id="49" name="TextBox 48">
          <a:extLst>
            <a:ext uri="{FF2B5EF4-FFF2-40B4-BE49-F238E27FC236}">
              <a16:creationId xmlns:a16="http://schemas.microsoft.com/office/drawing/2014/main" id="{00000000-0008-0000-0000-000031000000}"/>
            </a:ext>
          </a:extLst>
        </xdr:cNvPr>
        <xdr:cNvSpPr txBox="1"/>
      </xdr:nvSpPr>
      <xdr:spPr>
        <a:xfrm flipH="1">
          <a:off x="12371846" y="553590"/>
          <a:ext cx="45719" cy="2889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oneCellAnchor>
    <xdr:from>
      <xdr:col>3</xdr:col>
      <xdr:colOff>325642</xdr:colOff>
      <xdr:row>4</xdr:row>
      <xdr:rowOff>40705</xdr:rowOff>
    </xdr:from>
    <xdr:ext cx="919936" cy="366347"/>
    <xdr:sp macro="" textlink="pivottable!B3">
      <xdr:nvSpPr>
        <xdr:cNvPr id="50" name="TextBox 49">
          <a:extLst>
            <a:ext uri="{FF2B5EF4-FFF2-40B4-BE49-F238E27FC236}">
              <a16:creationId xmlns:a16="http://schemas.microsoft.com/office/drawing/2014/main" id="{00000000-0008-0000-0000-000032000000}"/>
            </a:ext>
          </a:extLst>
        </xdr:cNvPr>
        <xdr:cNvSpPr txBox="1"/>
      </xdr:nvSpPr>
      <xdr:spPr>
        <a:xfrm>
          <a:off x="2450450" y="789679"/>
          <a:ext cx="919936"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774DCC4-6AF6-4ACA-A4DA-2BF6F4230D70}" type="TxLink">
            <a:rPr lang="en-US" sz="1600" b="1" i="0" u="none" strike="noStrike">
              <a:solidFill>
                <a:srgbClr val="000000"/>
              </a:solidFill>
              <a:latin typeface="Calibri"/>
              <a:cs typeface="Calibri"/>
            </a:rPr>
            <a:pPr/>
            <a:t>307.50K</a:t>
          </a:fld>
          <a:endParaRPr lang="en-US" sz="2000" b="1"/>
        </a:p>
      </xdr:txBody>
    </xdr:sp>
    <xdr:clientData/>
  </xdr:oneCellAnchor>
  <xdr:oneCellAnchor>
    <xdr:from>
      <xdr:col>8</xdr:col>
      <xdr:colOff>553592</xdr:colOff>
      <xdr:row>4</xdr:row>
      <xdr:rowOff>56988</xdr:rowOff>
    </xdr:from>
    <xdr:ext cx="919936" cy="366347"/>
    <xdr:sp macro="" textlink="pivottable!B6">
      <xdr:nvSpPr>
        <xdr:cNvPr id="51" name="TextBox 50">
          <a:extLst>
            <a:ext uri="{FF2B5EF4-FFF2-40B4-BE49-F238E27FC236}">
              <a16:creationId xmlns:a16="http://schemas.microsoft.com/office/drawing/2014/main" id="{00000000-0008-0000-0000-000033000000}"/>
            </a:ext>
          </a:extLst>
        </xdr:cNvPr>
        <xdr:cNvSpPr txBox="1"/>
      </xdr:nvSpPr>
      <xdr:spPr>
        <a:xfrm>
          <a:off x="5731284" y="805962"/>
          <a:ext cx="919936"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03C0100-4491-4271-9CD6-224E184EE8AA}" type="TxLink">
            <a:rPr lang="en-US" sz="1600" b="1" i="0" u="none" strike="noStrike">
              <a:solidFill>
                <a:srgbClr val="000000"/>
              </a:solidFill>
              <a:latin typeface="Calibri"/>
              <a:cs typeface="Calibri"/>
            </a:rPr>
            <a:pPr/>
            <a:t>71.80K</a:t>
          </a:fld>
          <a:endParaRPr lang="en-US" sz="3200" b="1"/>
        </a:p>
      </xdr:txBody>
    </xdr:sp>
    <xdr:clientData/>
  </xdr:oneCellAnchor>
  <xdr:oneCellAnchor>
    <xdr:from>
      <xdr:col>8</xdr:col>
      <xdr:colOff>519400</xdr:colOff>
      <xdr:row>8</xdr:row>
      <xdr:rowOff>90482</xdr:rowOff>
    </xdr:from>
    <xdr:ext cx="1261858" cy="366347"/>
    <xdr:sp macro="" textlink="pivottable!B21">
      <xdr:nvSpPr>
        <xdr:cNvPr id="52" name="TextBox 51">
          <a:extLst>
            <a:ext uri="{FF2B5EF4-FFF2-40B4-BE49-F238E27FC236}">
              <a16:creationId xmlns:a16="http://schemas.microsoft.com/office/drawing/2014/main" id="{00000000-0008-0000-0000-000034000000}"/>
            </a:ext>
          </a:extLst>
        </xdr:cNvPr>
        <xdr:cNvSpPr txBox="1"/>
      </xdr:nvSpPr>
      <xdr:spPr>
        <a:xfrm>
          <a:off x="5681043" y="1614482"/>
          <a:ext cx="1261858"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16CC2AD-BC8B-4B09-8903-9B48EC758698}" type="TxLink">
            <a:rPr lang="en-US" sz="1600" b="1" i="0" u="none" strike="noStrike">
              <a:solidFill>
                <a:srgbClr val="000000"/>
              </a:solidFill>
              <a:latin typeface="Calibri"/>
              <a:cs typeface="Calibri"/>
            </a:rPr>
            <a:pPr/>
            <a:t>2.35M</a:t>
          </a:fld>
          <a:endParaRPr lang="en-US" sz="3200" b="1"/>
        </a:p>
      </xdr:txBody>
    </xdr:sp>
    <xdr:clientData/>
  </xdr:oneCellAnchor>
  <xdr:oneCellAnchor>
    <xdr:from>
      <xdr:col>11</xdr:col>
      <xdr:colOff>305135</xdr:colOff>
      <xdr:row>4</xdr:row>
      <xdr:rowOff>47967</xdr:rowOff>
    </xdr:from>
    <xdr:ext cx="586153" cy="366347"/>
    <xdr:sp macro="" textlink="pivottable!B12">
      <xdr:nvSpPr>
        <xdr:cNvPr id="70" name="TextBox 69">
          <a:extLst>
            <a:ext uri="{FF2B5EF4-FFF2-40B4-BE49-F238E27FC236}">
              <a16:creationId xmlns:a16="http://schemas.microsoft.com/office/drawing/2014/main" id="{00000000-0008-0000-0000-000046000000}"/>
            </a:ext>
          </a:extLst>
        </xdr:cNvPr>
        <xdr:cNvSpPr txBox="1"/>
      </xdr:nvSpPr>
      <xdr:spPr>
        <a:xfrm>
          <a:off x="7298716" y="803102"/>
          <a:ext cx="586153"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F550EA5-86A8-475D-B308-D620FF27FC5F}" type="TxLink">
            <a:rPr lang="en-US" sz="1600" b="1" i="0" u="none" strike="noStrike">
              <a:solidFill>
                <a:srgbClr val="000000"/>
              </a:solidFill>
              <a:latin typeface="Calibri"/>
              <a:cs typeface="Calibri"/>
            </a:rPr>
            <a:pPr/>
            <a:t>8</a:t>
          </a:fld>
          <a:endParaRPr lang="en-US" sz="3200" b="1"/>
        </a:p>
      </xdr:txBody>
    </xdr:sp>
    <xdr:clientData/>
  </xdr:oneCellAnchor>
  <xdr:oneCellAnchor>
    <xdr:from>
      <xdr:col>3</xdr:col>
      <xdr:colOff>455897</xdr:colOff>
      <xdr:row>8</xdr:row>
      <xdr:rowOff>122115</xdr:rowOff>
    </xdr:from>
    <xdr:ext cx="1261858" cy="366347"/>
    <xdr:sp macro="" textlink="pivottable!B18">
      <xdr:nvSpPr>
        <xdr:cNvPr id="72" name="TextBox 71">
          <a:extLst>
            <a:ext uri="{FF2B5EF4-FFF2-40B4-BE49-F238E27FC236}">
              <a16:creationId xmlns:a16="http://schemas.microsoft.com/office/drawing/2014/main" id="{00000000-0008-0000-0000-000048000000}"/>
            </a:ext>
          </a:extLst>
        </xdr:cNvPr>
        <xdr:cNvSpPr txBox="1"/>
      </xdr:nvSpPr>
      <xdr:spPr>
        <a:xfrm>
          <a:off x="2580705" y="1620064"/>
          <a:ext cx="1261858"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13459CE-CE19-4618-92D6-8699F78FAF73}" type="TxLink">
            <a:rPr lang="en-US" sz="1600" b="1" i="0" u="none" strike="noStrike">
              <a:solidFill>
                <a:srgbClr val="000000"/>
              </a:solidFill>
              <a:latin typeface="Calibri"/>
              <a:cs typeface="Calibri"/>
            </a:rPr>
            <a:pPr/>
            <a:t>542</a:t>
          </a:fld>
          <a:endParaRPr lang="en-US" sz="3200" b="1"/>
        </a:p>
      </xdr:txBody>
    </xdr:sp>
    <xdr:clientData/>
  </xdr:oneCellAnchor>
  <xdr:oneCellAnchor>
    <xdr:from>
      <xdr:col>6</xdr:col>
      <xdr:colOff>138399</xdr:colOff>
      <xdr:row>8</xdr:row>
      <xdr:rowOff>146538</xdr:rowOff>
    </xdr:from>
    <xdr:ext cx="1261858" cy="366347"/>
    <xdr:sp macro="" textlink="pivottable!B9">
      <xdr:nvSpPr>
        <xdr:cNvPr id="73" name="TextBox 72">
          <a:extLst>
            <a:ext uri="{FF2B5EF4-FFF2-40B4-BE49-F238E27FC236}">
              <a16:creationId xmlns:a16="http://schemas.microsoft.com/office/drawing/2014/main" id="{00000000-0008-0000-0000-000049000000}"/>
            </a:ext>
          </a:extLst>
        </xdr:cNvPr>
        <xdr:cNvSpPr txBox="1"/>
      </xdr:nvSpPr>
      <xdr:spPr>
        <a:xfrm>
          <a:off x="4094937" y="1644487"/>
          <a:ext cx="1261858"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EE8AD14-F1A0-4A02-912D-661B73A7E329}" type="TxLink">
            <a:rPr lang="en-US" sz="1600" b="1" i="0" u="none" strike="noStrike">
              <a:solidFill>
                <a:srgbClr val="000000"/>
              </a:solidFill>
              <a:latin typeface="Calibri"/>
              <a:cs typeface="Calibri"/>
            </a:rPr>
            <a:pPr/>
            <a:t>23.3%</a:t>
          </a:fld>
          <a:endParaRPr lang="en-US" sz="3200" b="1"/>
        </a:p>
      </xdr:txBody>
    </xdr:sp>
    <xdr:clientData/>
  </xdr:oneCellAnchor>
  <xdr:oneCellAnchor>
    <xdr:from>
      <xdr:col>6</xdr:col>
      <xdr:colOff>73271</xdr:colOff>
      <xdr:row>4</xdr:row>
      <xdr:rowOff>32564</xdr:rowOff>
    </xdr:from>
    <xdr:ext cx="919936" cy="366347"/>
    <xdr:sp macro="" textlink="pivottable!B15">
      <xdr:nvSpPr>
        <xdr:cNvPr id="77" name="TextBox 76">
          <a:extLst>
            <a:ext uri="{FF2B5EF4-FFF2-40B4-BE49-F238E27FC236}">
              <a16:creationId xmlns:a16="http://schemas.microsoft.com/office/drawing/2014/main" id="{00000000-0008-0000-0000-00004D000000}"/>
            </a:ext>
          </a:extLst>
        </xdr:cNvPr>
        <xdr:cNvSpPr txBox="1"/>
      </xdr:nvSpPr>
      <xdr:spPr>
        <a:xfrm>
          <a:off x="4029809" y="781538"/>
          <a:ext cx="919936" cy="3663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257A90B-0A37-4E55-B92A-E613B6F8B7A8}" type="TxLink">
            <a:rPr lang="en-US" sz="1600" b="1" i="0" u="none" strike="noStrike">
              <a:solidFill>
                <a:srgbClr val="000000"/>
              </a:solidFill>
              <a:latin typeface="Calibri"/>
              <a:cs typeface="Calibri"/>
            </a:rPr>
            <a:pPr/>
            <a:t>235.70K</a:t>
          </a:fld>
          <a:endParaRPr lang="en-US" sz="3200" b="1"/>
        </a:p>
      </xdr:txBody>
    </xdr:sp>
    <xdr:clientData/>
  </xdr:oneCellAnchor>
  <xdr:oneCellAnchor>
    <xdr:from>
      <xdr:col>6</xdr:col>
      <xdr:colOff>154681</xdr:colOff>
      <xdr:row>2</xdr:row>
      <xdr:rowOff>65128</xdr:rowOff>
    </xdr:from>
    <xdr:ext cx="600357" cy="311496"/>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4111219" y="439615"/>
          <a:ext cx="60035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tx1">
                  <a:lumMod val="50000"/>
                  <a:lumOff val="50000"/>
                </a:schemeClr>
              </a:solidFill>
            </a:rPr>
            <a:t>COGS</a:t>
          </a:r>
        </a:p>
      </xdr:txBody>
    </xdr:sp>
    <xdr:clientData/>
  </xdr:oneCellAnchor>
  <xdr:twoCellAnchor>
    <xdr:from>
      <xdr:col>10</xdr:col>
      <xdr:colOff>584062</xdr:colOff>
      <xdr:row>6</xdr:row>
      <xdr:rowOff>180202</xdr:rowOff>
    </xdr:from>
    <xdr:to>
      <xdr:col>13</xdr:col>
      <xdr:colOff>73968</xdr:colOff>
      <xdr:row>10</xdr:row>
      <xdr:rowOff>147701</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6968386" y="1312905"/>
          <a:ext cx="1317677" cy="722634"/>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10</xdr:col>
      <xdr:colOff>600676</xdr:colOff>
      <xdr:row>6</xdr:row>
      <xdr:rowOff>172728</xdr:rowOff>
    </xdr:from>
    <xdr:ext cx="1405601" cy="311496"/>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985000" y="1305431"/>
          <a:ext cx="140560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tx1">
                  <a:lumMod val="50000"/>
                  <a:lumOff val="50000"/>
                </a:schemeClr>
              </a:solidFill>
            </a:rPr>
            <a:t>Stock risk count</a:t>
          </a:r>
        </a:p>
      </xdr:txBody>
    </xdr:sp>
    <xdr:clientData/>
  </xdr:oneCellAnchor>
  <xdr:oneCellAnchor>
    <xdr:from>
      <xdr:col>11</xdr:col>
      <xdr:colOff>411137</xdr:colOff>
      <xdr:row>8</xdr:row>
      <xdr:rowOff>174123</xdr:rowOff>
    </xdr:from>
    <xdr:ext cx="594294" cy="342786"/>
    <xdr:sp macro="" textlink="pivottable!B24">
      <xdr:nvSpPr>
        <xdr:cNvPr id="81" name="TextBox 80">
          <a:extLst>
            <a:ext uri="{FF2B5EF4-FFF2-40B4-BE49-F238E27FC236}">
              <a16:creationId xmlns:a16="http://schemas.microsoft.com/office/drawing/2014/main" id="{00000000-0008-0000-0000-000051000000}"/>
            </a:ext>
          </a:extLst>
        </xdr:cNvPr>
        <xdr:cNvSpPr txBox="1"/>
      </xdr:nvSpPr>
      <xdr:spPr>
        <a:xfrm>
          <a:off x="7404718" y="1684393"/>
          <a:ext cx="59429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16815C89-F5B7-45CC-A5FF-261EFDA93E7D}" type="TxLink">
            <a:rPr lang="en-US" sz="1600" b="1" i="0" u="none" strike="noStrike">
              <a:solidFill>
                <a:srgbClr val="000000"/>
              </a:solidFill>
              <a:latin typeface="Calibri"/>
              <a:cs typeface="Calibri"/>
            </a:rPr>
            <a:pPr/>
            <a:t>9</a:t>
          </a:fld>
          <a:endParaRPr lang="en-US" sz="1600" b="1"/>
        </a:p>
      </xdr:txBody>
    </xdr:sp>
    <xdr:clientData/>
  </xdr:oneCellAnchor>
  <xdr:oneCellAnchor>
    <xdr:from>
      <xdr:col>19</xdr:col>
      <xdr:colOff>442465</xdr:colOff>
      <xdr:row>8</xdr:row>
      <xdr:rowOff>156798</xdr:rowOff>
    </xdr:from>
    <xdr:ext cx="1680140" cy="280205"/>
    <xdr:sp macro="" textlink="">
      <xdr:nvSpPr>
        <xdr:cNvPr id="71" name="TextBox 70">
          <a:extLst>
            <a:ext uri="{FF2B5EF4-FFF2-40B4-BE49-F238E27FC236}">
              <a16:creationId xmlns:a16="http://schemas.microsoft.com/office/drawing/2014/main" id="{15E65C48-CA52-4FE6-A7FE-924087E2DB6E}"/>
            </a:ext>
          </a:extLst>
        </xdr:cNvPr>
        <xdr:cNvSpPr txBox="1"/>
      </xdr:nvSpPr>
      <xdr:spPr>
        <a:xfrm>
          <a:off x="12310100" y="1667068"/>
          <a:ext cx="168014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baseline="0"/>
            <a:t>Lowest selling Products</a:t>
          </a:r>
          <a:endParaRPr lang="en-US" sz="1200" b="1" i="0"/>
        </a:p>
      </xdr:txBody>
    </xdr:sp>
    <xdr:clientData/>
  </xdr:oneCellAnchor>
  <xdr:twoCellAnchor editAs="oneCell">
    <xdr:from>
      <xdr:col>19</xdr:col>
      <xdr:colOff>190500</xdr:colOff>
      <xdr:row>0</xdr:row>
      <xdr:rowOff>163041</xdr:rowOff>
    </xdr:from>
    <xdr:to>
      <xdr:col>21</xdr:col>
      <xdr:colOff>362856</xdr:colOff>
      <xdr:row>7</xdr:row>
      <xdr:rowOff>163040</xdr:rowOff>
    </xdr:to>
    <mc:AlternateContent xmlns:mc="http://schemas.openxmlformats.org/markup-compatibility/2006" xmlns:a14="http://schemas.microsoft.com/office/drawing/2010/main">
      <mc:Choice Requires="a14">
        <xdr:graphicFrame macro="">
          <xdr:nvGraphicFramePr>
            <xdr:cNvPr id="74" name="Catergory">
              <a:extLst>
                <a:ext uri="{FF2B5EF4-FFF2-40B4-BE49-F238E27FC236}">
                  <a16:creationId xmlns:a16="http://schemas.microsoft.com/office/drawing/2014/main" id="{495EE859-ED43-4EEA-8288-22A60CB5B816}"/>
                </a:ext>
              </a:extLst>
            </xdr:cNvPr>
            <xdr:cNvGraphicFramePr/>
          </xdr:nvGraphicFramePr>
          <xdr:xfrm>
            <a:off x="0" y="0"/>
            <a:ext cx="0" cy="0"/>
          </xdr:xfrm>
          <a:graphic>
            <a:graphicData uri="http://schemas.microsoft.com/office/drawing/2010/slicer">
              <sle:slicer xmlns:sle="http://schemas.microsoft.com/office/drawing/2010/slicer" name="Catergory"/>
            </a:graphicData>
          </a:graphic>
        </xdr:graphicFrame>
      </mc:Choice>
      <mc:Fallback xmlns="">
        <xdr:sp macro="" textlink="">
          <xdr:nvSpPr>
            <xdr:cNvPr id="0" name=""/>
            <xdr:cNvSpPr>
              <a:spLocks noTextEdit="1"/>
            </xdr:cNvSpPr>
          </xdr:nvSpPr>
          <xdr:spPr>
            <a:xfrm>
              <a:off x="12058135" y="163041"/>
              <a:ext cx="1390870" cy="1321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426356</xdr:colOff>
      <xdr:row>0</xdr:row>
      <xdr:rowOff>145879</xdr:rowOff>
    </xdr:from>
    <xdr:to>
      <xdr:col>24</xdr:col>
      <xdr:colOff>108856</xdr:colOff>
      <xdr:row>7</xdr:row>
      <xdr:rowOff>171622</xdr:rowOff>
    </xdr:to>
    <mc:AlternateContent xmlns:mc="http://schemas.openxmlformats.org/markup-compatibility/2006" xmlns:a14="http://schemas.microsoft.com/office/drawing/2010/main">
      <mc:Choice Requires="a14">
        <xdr:graphicFrame macro="">
          <xdr:nvGraphicFramePr>
            <xdr:cNvPr id="75" name="Brand">
              <a:extLst>
                <a:ext uri="{FF2B5EF4-FFF2-40B4-BE49-F238E27FC236}">
                  <a16:creationId xmlns:a16="http://schemas.microsoft.com/office/drawing/2014/main" id="{7B582094-8AD5-43A7-8423-541EA5E9F2FF}"/>
                </a:ext>
              </a:extLst>
            </xdr:cNvPr>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13512505" y="145879"/>
              <a:ext cx="1510270" cy="1347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205946</xdr:colOff>
      <xdr:row>0</xdr:row>
      <xdr:rowOff>120135</xdr:rowOff>
    </xdr:from>
    <xdr:to>
      <xdr:col>19</xdr:col>
      <xdr:colOff>108857</xdr:colOff>
      <xdr:row>7</xdr:row>
      <xdr:rowOff>154460</xdr:rowOff>
    </xdr:to>
    <mc:AlternateContent xmlns:mc="http://schemas.openxmlformats.org/markup-compatibility/2006" xmlns:tsle="http://schemas.microsoft.com/office/drawing/2012/timeslicer">
      <mc:Choice Requires="tsle">
        <xdr:graphicFrame macro="">
          <xdr:nvGraphicFramePr>
            <xdr:cNvPr id="76" name="Date">
              <a:extLst>
                <a:ext uri="{FF2B5EF4-FFF2-40B4-BE49-F238E27FC236}">
                  <a16:creationId xmlns:a16="http://schemas.microsoft.com/office/drawing/2014/main" id="{F0BEF427-B4D8-4CFD-9232-926D09CAF069}"/>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8418041" y="120135"/>
              <a:ext cx="3558451" cy="135581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oneCellAnchor>
    <xdr:from>
      <xdr:col>2</xdr:col>
      <xdr:colOff>231690</xdr:colOff>
      <xdr:row>0</xdr:row>
      <xdr:rowOff>51486</xdr:rowOff>
    </xdr:from>
    <xdr:ext cx="4384932" cy="308919"/>
    <xdr:sp macro="" textlink="">
      <xdr:nvSpPr>
        <xdr:cNvPr id="8" name="TextBox 7">
          <a:extLst>
            <a:ext uri="{FF2B5EF4-FFF2-40B4-BE49-F238E27FC236}">
              <a16:creationId xmlns:a16="http://schemas.microsoft.com/office/drawing/2014/main" id="{EF0F8CA7-1C66-4AC0-B32E-E00CDD5300E5}"/>
            </a:ext>
          </a:extLst>
        </xdr:cNvPr>
        <xdr:cNvSpPr txBox="1"/>
      </xdr:nvSpPr>
      <xdr:spPr>
        <a:xfrm>
          <a:off x="2076622" y="51486"/>
          <a:ext cx="4384932" cy="308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Perfume Sales</a:t>
          </a:r>
          <a:r>
            <a:rPr lang="en-US" sz="1600" b="1" baseline="0"/>
            <a:t> and Inventory Dashboard</a:t>
          </a:r>
          <a:endParaRPr lang="en-US" sz="1600" b="1"/>
        </a:p>
      </xdr:txBody>
    </xdr:sp>
    <xdr:clientData/>
  </xdr:oneCellAnchor>
  <xdr:oneCellAnchor>
    <xdr:from>
      <xdr:col>2</xdr:col>
      <xdr:colOff>257433</xdr:colOff>
      <xdr:row>1</xdr:row>
      <xdr:rowOff>42905</xdr:rowOff>
    </xdr:from>
    <xdr:ext cx="4043420" cy="223108"/>
    <xdr:sp macro="" textlink="">
      <xdr:nvSpPr>
        <xdr:cNvPr id="79" name="TextBox 78">
          <a:extLst>
            <a:ext uri="{FF2B5EF4-FFF2-40B4-BE49-F238E27FC236}">
              <a16:creationId xmlns:a16="http://schemas.microsoft.com/office/drawing/2014/main" id="{AEAEEF28-8DD6-4A5E-B793-AD26C409A145}"/>
            </a:ext>
          </a:extLst>
        </xdr:cNvPr>
        <xdr:cNvSpPr txBox="1"/>
      </xdr:nvSpPr>
      <xdr:spPr>
        <a:xfrm>
          <a:off x="2102365" y="231689"/>
          <a:ext cx="4043420" cy="2231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b="1" i="1">
              <a:solidFill>
                <a:schemeClr val="tx1">
                  <a:lumMod val="50000"/>
                  <a:lumOff val="50000"/>
                </a:schemeClr>
              </a:solidFill>
            </a:rPr>
            <a:t>Business</a:t>
          </a:r>
          <a:r>
            <a:rPr lang="en-US" sz="1200" b="1" i="1" baseline="0">
              <a:solidFill>
                <a:schemeClr val="tx1">
                  <a:lumMod val="50000"/>
                  <a:lumOff val="50000"/>
                </a:schemeClr>
              </a:solidFill>
            </a:rPr>
            <a:t> performance overview</a:t>
          </a:r>
          <a:endParaRPr lang="en-US" sz="1200" b="1" i="1">
            <a:solidFill>
              <a:schemeClr val="tx1">
                <a:lumMod val="50000"/>
                <a:lumOff val="50000"/>
              </a:schemeClr>
            </a:solidFill>
          </a:endParaRPr>
        </a:p>
      </xdr:txBody>
    </xdr:sp>
    <xdr:clientData/>
  </xdr:oneCellAnchor>
  <xdr:twoCellAnchor editAs="oneCell">
    <xdr:from>
      <xdr:col>12</xdr:col>
      <xdr:colOff>326081</xdr:colOff>
      <xdr:row>0</xdr:row>
      <xdr:rowOff>99313</xdr:rowOff>
    </xdr:from>
    <xdr:to>
      <xdr:col>13</xdr:col>
      <xdr:colOff>94392</xdr:colOff>
      <xdr:row>2</xdr:row>
      <xdr:rowOff>25993</xdr:rowOff>
    </xdr:to>
    <xdr:pic macro="[0]!RefreshDashboard">
      <xdr:nvPicPr>
        <xdr:cNvPr id="10" name="Picture 9">
          <a:extLst>
            <a:ext uri="{FF2B5EF4-FFF2-40B4-BE49-F238E27FC236}">
              <a16:creationId xmlns:a16="http://schemas.microsoft.com/office/drawing/2014/main" id="{10043035-4CA9-49E6-BE5D-FCAD1B09CF5F}"/>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928919" y="99313"/>
          <a:ext cx="377568" cy="3042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25</xdr:row>
      <xdr:rowOff>37120</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7</xdr:row>
      <xdr:rowOff>81643</xdr:rowOff>
    </xdr:from>
    <xdr:to>
      <xdr:col>1</xdr:col>
      <xdr:colOff>990600</xdr:colOff>
      <xdr:row>9</xdr:row>
      <xdr:rowOff>11793</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100-000025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9</xdr:row>
      <xdr:rowOff>144236</xdr:rowOff>
    </xdr:from>
    <xdr:to>
      <xdr:col>1</xdr:col>
      <xdr:colOff>990600</xdr:colOff>
      <xdr:row>11</xdr:row>
      <xdr:rowOff>74386</xdr:rowOff>
    </xdr:to>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100-000026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12</xdr:row>
      <xdr:rowOff>16329</xdr:rowOff>
    </xdr:from>
    <xdr:to>
      <xdr:col>1</xdr:col>
      <xdr:colOff>990600</xdr:colOff>
      <xdr:row>13</xdr:row>
      <xdr:rowOff>136979</xdr:rowOff>
    </xdr:to>
    <xdr:sp macro="" textlink="">
      <xdr:nvSpPr>
        <xdr:cNvPr id="39" name="Rectangle: Rounded Corners 38">
          <a:hlinkClick xmlns:r="http://schemas.openxmlformats.org/officeDocument/2006/relationships" r:id="rId3"/>
          <a:extLst>
            <a:ext uri="{FF2B5EF4-FFF2-40B4-BE49-F238E27FC236}">
              <a16:creationId xmlns:a16="http://schemas.microsoft.com/office/drawing/2014/main" id="{00000000-0008-0000-0100-000027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14</xdr:row>
      <xdr:rowOff>78922</xdr:rowOff>
    </xdr:from>
    <xdr:to>
      <xdr:col>1</xdr:col>
      <xdr:colOff>990600</xdr:colOff>
      <xdr:row>16</xdr:row>
      <xdr:rowOff>9072</xdr:rowOff>
    </xdr:to>
    <xdr:sp macro="" textlink="">
      <xdr:nvSpPr>
        <xdr:cNvPr id="40" name="Rectangle: Rounded Corners 39">
          <a:hlinkClick xmlns:r="http://schemas.openxmlformats.org/officeDocument/2006/relationships" r:id="rId4"/>
          <a:extLst>
            <a:ext uri="{FF2B5EF4-FFF2-40B4-BE49-F238E27FC236}">
              <a16:creationId xmlns:a16="http://schemas.microsoft.com/office/drawing/2014/main" id="{00000000-0008-0000-0100-000028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19</xdr:row>
      <xdr:rowOff>13608</xdr:rowOff>
    </xdr:from>
    <xdr:to>
      <xdr:col>1</xdr:col>
      <xdr:colOff>990600</xdr:colOff>
      <xdr:row>20</xdr:row>
      <xdr:rowOff>134258</xdr:rowOff>
    </xdr:to>
    <xdr:sp macro="" textlink="">
      <xdr:nvSpPr>
        <xdr:cNvPr id="41" name="Rectangle: Rounded Corners 40">
          <a:hlinkClick xmlns:r="http://schemas.openxmlformats.org/officeDocument/2006/relationships" r:id="rId5"/>
          <a:extLst>
            <a:ext uri="{FF2B5EF4-FFF2-40B4-BE49-F238E27FC236}">
              <a16:creationId xmlns:a16="http://schemas.microsoft.com/office/drawing/2014/main" id="{00000000-0008-0000-0100-000029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21</xdr:row>
      <xdr:rowOff>76200</xdr:rowOff>
    </xdr:from>
    <xdr:to>
      <xdr:col>1</xdr:col>
      <xdr:colOff>990600</xdr:colOff>
      <xdr:row>23</xdr:row>
      <xdr:rowOff>6350</xdr:rowOff>
    </xdr:to>
    <xdr:sp macro="" textlink="">
      <xdr:nvSpPr>
        <xdr:cNvPr id="42" name="Rectangle: Rounded Corners 41">
          <a:hlinkClick xmlns:r="http://schemas.openxmlformats.org/officeDocument/2006/relationships" r:id="rId6"/>
          <a:extLst>
            <a:ext uri="{FF2B5EF4-FFF2-40B4-BE49-F238E27FC236}">
              <a16:creationId xmlns:a16="http://schemas.microsoft.com/office/drawing/2014/main" id="{00000000-0008-0000-0100-00002A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16</xdr:row>
      <xdr:rowOff>141515</xdr:rowOff>
    </xdr:from>
    <xdr:to>
      <xdr:col>1</xdr:col>
      <xdr:colOff>990600</xdr:colOff>
      <xdr:row>18</xdr:row>
      <xdr:rowOff>71665</xdr:rowOff>
    </xdr:to>
    <xdr:sp macro="" textlink="">
      <xdr:nvSpPr>
        <xdr:cNvPr id="43" name="Rectangle: Rounded Corners 42">
          <a:hlinkClick xmlns:r="http://schemas.openxmlformats.org/officeDocument/2006/relationships" r:id="rId7"/>
          <a:extLst>
            <a:ext uri="{FF2B5EF4-FFF2-40B4-BE49-F238E27FC236}">
              <a16:creationId xmlns:a16="http://schemas.microsoft.com/office/drawing/2014/main" id="{00000000-0008-0000-0100-00002B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5</xdr:row>
      <xdr:rowOff>25400</xdr:rowOff>
    </xdr:from>
    <xdr:to>
      <xdr:col>1</xdr:col>
      <xdr:colOff>984250</xdr:colOff>
      <xdr:row>6</xdr:row>
      <xdr:rowOff>133350</xdr:rowOff>
    </xdr:to>
    <xdr:sp macro="" textlink="">
      <xdr:nvSpPr>
        <xdr:cNvPr id="44" name="Rectangle: Rounded Corners 43">
          <a:hlinkClick xmlns:r="http://schemas.openxmlformats.org/officeDocument/2006/relationships" r:id="rId8"/>
          <a:extLst>
            <a:ext uri="{FF2B5EF4-FFF2-40B4-BE49-F238E27FC236}">
              <a16:creationId xmlns:a16="http://schemas.microsoft.com/office/drawing/2014/main" id="{00000000-0008-0000-0100-00002C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7</xdr:row>
      <xdr:rowOff>165100</xdr:rowOff>
    </xdr:from>
    <xdr:to>
      <xdr:col>0</xdr:col>
      <xdr:colOff>552550</xdr:colOff>
      <xdr:row>8</xdr:row>
      <xdr:rowOff>127404</xdr:rowOff>
    </xdr:to>
    <xdr:pic>
      <xdr:nvPicPr>
        <xdr:cNvPr id="45" name="Graphic 44" descr="Books with solid fill">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12</xdr:row>
      <xdr:rowOff>95250</xdr:rowOff>
    </xdr:from>
    <xdr:to>
      <xdr:col>0</xdr:col>
      <xdr:colOff>558900</xdr:colOff>
      <xdr:row>13</xdr:row>
      <xdr:rowOff>52714</xdr:rowOff>
    </xdr:to>
    <xdr:pic>
      <xdr:nvPicPr>
        <xdr:cNvPr id="46" name="Graphic 45" descr="Bar graph with upward trend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5</xdr:row>
      <xdr:rowOff>122710</xdr:rowOff>
    </xdr:from>
    <xdr:to>
      <xdr:col>0</xdr:col>
      <xdr:colOff>571600</xdr:colOff>
      <xdr:row>6</xdr:row>
      <xdr:rowOff>80175</xdr:rowOff>
    </xdr:to>
    <xdr:pic>
      <xdr:nvPicPr>
        <xdr:cNvPr id="47" name="Graphic 46" descr="Presentation with bar chart with solid fill">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19</xdr:row>
      <xdr:rowOff>49990</xdr:rowOff>
    </xdr:from>
    <xdr:to>
      <xdr:col>0</xdr:col>
      <xdr:colOff>546200</xdr:colOff>
      <xdr:row>20</xdr:row>
      <xdr:rowOff>7453</xdr:rowOff>
    </xdr:to>
    <xdr:pic>
      <xdr:nvPicPr>
        <xdr:cNvPr id="48" name="Graphic 47" descr="User with solid fill">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14</xdr:row>
      <xdr:rowOff>148550</xdr:rowOff>
    </xdr:from>
    <xdr:to>
      <xdr:col>0</xdr:col>
      <xdr:colOff>539850</xdr:colOff>
      <xdr:row>15</xdr:row>
      <xdr:rowOff>106013</xdr:rowOff>
    </xdr:to>
    <xdr:pic>
      <xdr:nvPicPr>
        <xdr:cNvPr id="49" name="Graphic 48" descr="Shopping cart with solid fill">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21</xdr:row>
      <xdr:rowOff>180030</xdr:rowOff>
    </xdr:from>
    <xdr:to>
      <xdr:col>0</xdr:col>
      <xdr:colOff>546200</xdr:colOff>
      <xdr:row>22</xdr:row>
      <xdr:rowOff>135982</xdr:rowOff>
    </xdr:to>
    <xdr:pic>
      <xdr:nvPicPr>
        <xdr:cNvPr id="50" name="Graphic 49" descr="Male profile with solid fill">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9</xdr:row>
      <xdr:rowOff>170200</xdr:rowOff>
    </xdr:from>
    <xdr:to>
      <xdr:col>0</xdr:col>
      <xdr:colOff>527150</xdr:colOff>
      <xdr:row>10</xdr:row>
      <xdr:rowOff>126152</xdr:rowOff>
    </xdr:to>
    <xdr:pic>
      <xdr:nvPicPr>
        <xdr:cNvPr id="51" name="Graphic 50" descr="Coins with solid fill">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16</xdr:row>
      <xdr:rowOff>171450</xdr:rowOff>
    </xdr:from>
    <xdr:to>
      <xdr:col>0</xdr:col>
      <xdr:colOff>533500</xdr:colOff>
      <xdr:row>17</xdr:row>
      <xdr:rowOff>133752</xdr:rowOff>
    </xdr:to>
    <xdr:pic>
      <xdr:nvPicPr>
        <xdr:cNvPr id="52" name="Graphic 51" descr="Open book with solid fill">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3</xdr:col>
      <xdr:colOff>6511</xdr:colOff>
      <xdr:row>0</xdr:row>
      <xdr:rowOff>241139</xdr:rowOff>
    </xdr:from>
    <xdr:to>
      <xdr:col>18</xdr:col>
      <xdr:colOff>112130</xdr:colOff>
      <xdr:row>2</xdr:row>
      <xdr:rowOff>85524</xdr:rowOff>
    </xdr:to>
    <xdr:sp macro="" textlink="">
      <xdr:nvSpPr>
        <xdr:cNvPr id="53" name="Rectangle 52">
          <a:extLst>
            <a:ext uri="{FF2B5EF4-FFF2-40B4-BE49-F238E27FC236}">
              <a16:creationId xmlns:a16="http://schemas.microsoft.com/office/drawing/2014/main" id="{00000000-0008-0000-0100-000035000000}"/>
            </a:ext>
          </a:extLst>
        </xdr:cNvPr>
        <xdr:cNvSpPr/>
      </xdr:nvSpPr>
      <xdr:spPr>
        <a:xfrm>
          <a:off x="2176764" y="241139"/>
          <a:ext cx="14292644" cy="423119"/>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rgbClr val="6A4C93"/>
              </a:solidFill>
            </a:rPr>
            <a:t>Entry</a:t>
          </a:r>
          <a:r>
            <a:rPr lang="en-US" sz="1800" b="1" baseline="0">
              <a:solidFill>
                <a:srgbClr val="6A4C93"/>
              </a:solidFill>
            </a:rPr>
            <a:t> form</a:t>
          </a:r>
          <a:endParaRPr lang="en-US" sz="1800" b="1">
            <a:solidFill>
              <a:srgbClr val="6A4C93"/>
            </a:solidFill>
          </a:endParaRPr>
        </a:p>
      </xdr:txBody>
    </xdr:sp>
    <xdr:clientData/>
  </xdr:twoCellAnchor>
  <xdr:twoCellAnchor>
    <xdr:from>
      <xdr:col>3</xdr:col>
      <xdr:colOff>104494</xdr:colOff>
      <xdr:row>17</xdr:row>
      <xdr:rowOff>160759</xdr:rowOff>
    </xdr:from>
    <xdr:to>
      <xdr:col>3</xdr:col>
      <xdr:colOff>980633</xdr:colOff>
      <xdr:row>18</xdr:row>
      <xdr:rowOff>176835</xdr:rowOff>
    </xdr:to>
    <xdr:sp macro="[0]!SubmitSales" textlink="">
      <xdr:nvSpPr>
        <xdr:cNvPr id="2" name="Rectangle 1">
          <a:extLst>
            <a:ext uri="{FF2B5EF4-FFF2-40B4-BE49-F238E27FC236}">
              <a16:creationId xmlns:a16="http://schemas.microsoft.com/office/drawing/2014/main" id="{B82279C2-3F2C-4F14-99EC-4F3EFC2EC54B}"/>
            </a:ext>
          </a:extLst>
        </xdr:cNvPr>
        <xdr:cNvSpPr/>
      </xdr:nvSpPr>
      <xdr:spPr>
        <a:xfrm>
          <a:off x="2274747" y="4597721"/>
          <a:ext cx="876139" cy="273291"/>
        </a:xfrm>
        <a:prstGeom prst="rect">
          <a:avLst/>
        </a:prstGeom>
        <a:solidFill>
          <a:srgbClr val="00B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Submit</a:t>
          </a:r>
        </a:p>
      </xdr:txBody>
    </xdr:sp>
    <xdr:clientData/>
  </xdr:twoCellAnchor>
  <xdr:twoCellAnchor>
    <xdr:from>
      <xdr:col>4</xdr:col>
      <xdr:colOff>160760</xdr:colOff>
      <xdr:row>17</xdr:row>
      <xdr:rowOff>162446</xdr:rowOff>
    </xdr:from>
    <xdr:to>
      <xdr:col>4</xdr:col>
      <xdr:colOff>1036899</xdr:colOff>
      <xdr:row>18</xdr:row>
      <xdr:rowOff>184872</xdr:rowOff>
    </xdr:to>
    <xdr:sp macro="[0]!ClearForm" textlink="">
      <xdr:nvSpPr>
        <xdr:cNvPr id="27" name="Rectangle 26">
          <a:extLst>
            <a:ext uri="{FF2B5EF4-FFF2-40B4-BE49-F238E27FC236}">
              <a16:creationId xmlns:a16="http://schemas.microsoft.com/office/drawing/2014/main" id="{D44FF6E4-2080-4156-AEF3-EDF57D3FCB43}"/>
            </a:ext>
          </a:extLst>
        </xdr:cNvPr>
        <xdr:cNvSpPr/>
      </xdr:nvSpPr>
      <xdr:spPr>
        <a:xfrm>
          <a:off x="3327722" y="4599408"/>
          <a:ext cx="876139" cy="279641"/>
        </a:xfrm>
        <a:prstGeom prst="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Clear</a:t>
          </a:r>
        </a:p>
      </xdr:txBody>
    </xdr:sp>
    <xdr:clientData/>
  </xdr:twoCellAnchor>
  <xdr:twoCellAnchor>
    <xdr:from>
      <xdr:col>4</xdr:col>
      <xdr:colOff>1189621</xdr:colOff>
      <xdr:row>17</xdr:row>
      <xdr:rowOff>162447</xdr:rowOff>
    </xdr:from>
    <xdr:to>
      <xdr:col>4</xdr:col>
      <xdr:colOff>2065760</xdr:colOff>
      <xdr:row>18</xdr:row>
      <xdr:rowOff>184873</xdr:rowOff>
    </xdr:to>
    <xdr:sp macro="[0]!DeleteLastSale" textlink="">
      <xdr:nvSpPr>
        <xdr:cNvPr id="28" name="Rectangle 27">
          <a:extLst>
            <a:ext uri="{FF2B5EF4-FFF2-40B4-BE49-F238E27FC236}">
              <a16:creationId xmlns:a16="http://schemas.microsoft.com/office/drawing/2014/main" id="{447A2EEC-BBEA-4AF3-B291-9B17F6099EE7}"/>
            </a:ext>
          </a:extLst>
        </xdr:cNvPr>
        <xdr:cNvSpPr/>
      </xdr:nvSpPr>
      <xdr:spPr>
        <a:xfrm>
          <a:off x="4356583" y="4599409"/>
          <a:ext cx="876139" cy="279641"/>
        </a:xfrm>
        <a:prstGeom prst="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Delete</a:t>
          </a:r>
        </a:p>
      </xdr:txBody>
    </xdr:sp>
    <xdr:clientData/>
  </xdr:twoCellAnchor>
  <xdr:twoCellAnchor>
    <xdr:from>
      <xdr:col>9</xdr:col>
      <xdr:colOff>96456</xdr:colOff>
      <xdr:row>15</xdr:row>
      <xdr:rowOff>197773</xdr:rowOff>
    </xdr:from>
    <xdr:to>
      <xdr:col>9</xdr:col>
      <xdr:colOff>972595</xdr:colOff>
      <xdr:row>16</xdr:row>
      <xdr:rowOff>213849</xdr:rowOff>
    </xdr:to>
    <xdr:sp macro="[0]!SubmitPurchase" textlink="">
      <xdr:nvSpPr>
        <xdr:cNvPr id="29" name="Rectangle 28">
          <a:extLst>
            <a:ext uri="{FF2B5EF4-FFF2-40B4-BE49-F238E27FC236}">
              <a16:creationId xmlns:a16="http://schemas.microsoft.com/office/drawing/2014/main" id="{A561F7BF-DA11-45BD-88D5-FDBEC16B7EF1}"/>
            </a:ext>
          </a:extLst>
        </xdr:cNvPr>
        <xdr:cNvSpPr/>
      </xdr:nvSpPr>
      <xdr:spPr>
        <a:xfrm>
          <a:off x="8110317" y="4120305"/>
          <a:ext cx="876139" cy="273291"/>
        </a:xfrm>
        <a:prstGeom prst="rect">
          <a:avLst/>
        </a:prstGeom>
        <a:solidFill>
          <a:srgbClr val="00B05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Submit</a:t>
          </a:r>
        </a:p>
      </xdr:txBody>
    </xdr:sp>
    <xdr:clientData/>
  </xdr:twoCellAnchor>
  <xdr:twoCellAnchor>
    <xdr:from>
      <xdr:col>9</xdr:col>
      <xdr:colOff>1165507</xdr:colOff>
      <xdr:row>15</xdr:row>
      <xdr:rowOff>186560</xdr:rowOff>
    </xdr:from>
    <xdr:to>
      <xdr:col>10</xdr:col>
      <xdr:colOff>819874</xdr:colOff>
      <xdr:row>16</xdr:row>
      <xdr:rowOff>208986</xdr:rowOff>
    </xdr:to>
    <xdr:sp macro="[0]!ClearPurchaseForm" textlink="">
      <xdr:nvSpPr>
        <xdr:cNvPr id="30" name="Rectangle 29">
          <a:extLst>
            <a:ext uri="{FF2B5EF4-FFF2-40B4-BE49-F238E27FC236}">
              <a16:creationId xmlns:a16="http://schemas.microsoft.com/office/drawing/2014/main" id="{FA6B4282-A4A7-4041-B233-6BE4C9D5E612}"/>
            </a:ext>
          </a:extLst>
        </xdr:cNvPr>
        <xdr:cNvSpPr/>
      </xdr:nvSpPr>
      <xdr:spPr>
        <a:xfrm>
          <a:off x="9179368" y="4109092"/>
          <a:ext cx="876139" cy="279641"/>
        </a:xfrm>
        <a:prstGeom prst="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Clear</a:t>
          </a:r>
        </a:p>
      </xdr:txBody>
    </xdr:sp>
    <xdr:clientData/>
  </xdr:twoCellAnchor>
  <xdr:twoCellAnchor>
    <xdr:from>
      <xdr:col>10</xdr:col>
      <xdr:colOff>988672</xdr:colOff>
      <xdr:row>15</xdr:row>
      <xdr:rowOff>202637</xdr:rowOff>
    </xdr:from>
    <xdr:to>
      <xdr:col>10</xdr:col>
      <xdr:colOff>1864811</xdr:colOff>
      <xdr:row>16</xdr:row>
      <xdr:rowOff>225063</xdr:rowOff>
    </xdr:to>
    <xdr:sp macro="[0]!DeleteLastPurchase" textlink="">
      <xdr:nvSpPr>
        <xdr:cNvPr id="31" name="Rectangle 30">
          <a:extLst>
            <a:ext uri="{FF2B5EF4-FFF2-40B4-BE49-F238E27FC236}">
              <a16:creationId xmlns:a16="http://schemas.microsoft.com/office/drawing/2014/main" id="{766C524C-1762-41A0-B273-6BD327A43C77}"/>
            </a:ext>
          </a:extLst>
        </xdr:cNvPr>
        <xdr:cNvSpPr/>
      </xdr:nvSpPr>
      <xdr:spPr>
        <a:xfrm>
          <a:off x="10224305" y="4125169"/>
          <a:ext cx="876139" cy="279641"/>
        </a:xfrm>
        <a:prstGeom prst="rect">
          <a:avLst/>
        </a:prstGeom>
        <a:solidFill>
          <a:srgbClr val="C000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Delete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19" name="Rectangle 18">
          <a:extLst>
            <a:ext uri="{FF2B5EF4-FFF2-40B4-BE49-F238E27FC236}">
              <a16:creationId xmlns:a16="http://schemas.microsoft.com/office/drawing/2014/main" id="{00000000-0008-0000-0200-000013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00000000-0008-0000-0200-000014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00000000-0008-0000-0200-000015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00000000-0008-0000-0200-000016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200-000017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00000000-0008-0000-0200-000018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25" name="Rectangle: Rounded Corners 24">
          <a:hlinkClick xmlns:r="http://schemas.openxmlformats.org/officeDocument/2006/relationships" r:id="rId6"/>
          <a:extLst>
            <a:ext uri="{FF2B5EF4-FFF2-40B4-BE49-F238E27FC236}">
              <a16:creationId xmlns:a16="http://schemas.microsoft.com/office/drawing/2014/main" id="{00000000-0008-0000-0200-000019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26" name="Rectangle: Rounded Corners 25">
          <a:hlinkClick xmlns:r="http://schemas.openxmlformats.org/officeDocument/2006/relationships" r:id="rId7"/>
          <a:extLst>
            <a:ext uri="{FF2B5EF4-FFF2-40B4-BE49-F238E27FC236}">
              <a16:creationId xmlns:a16="http://schemas.microsoft.com/office/drawing/2014/main" id="{00000000-0008-0000-0200-00001A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27" name="Rectangle: Rounded Corners 26">
          <a:hlinkClick xmlns:r="http://schemas.openxmlformats.org/officeDocument/2006/relationships" r:id="rId8"/>
          <a:extLst>
            <a:ext uri="{FF2B5EF4-FFF2-40B4-BE49-F238E27FC236}">
              <a16:creationId xmlns:a16="http://schemas.microsoft.com/office/drawing/2014/main" id="{00000000-0008-0000-0200-00001B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6449</xdr:rowOff>
    </xdr:to>
    <xdr:pic>
      <xdr:nvPicPr>
        <xdr:cNvPr id="28" name="Graphic 27" descr="Books with solid fill">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29" name="Graphic 28" descr="Bar graph with upward trend with solid fill">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148209</xdr:rowOff>
    </xdr:to>
    <xdr:pic>
      <xdr:nvPicPr>
        <xdr:cNvPr id="30" name="Graphic 29" descr="Presentation with bar chart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31" name="Graphic 30" descr="User with solid fill">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174051</xdr:rowOff>
    </xdr:to>
    <xdr:pic>
      <xdr:nvPicPr>
        <xdr:cNvPr id="32" name="Graphic 31" descr="Shopping cart with solid fill">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33" name="Graphic 32" descr="Male profile with solid fill">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34" name="Graphic 33" descr="Coins with solid fill">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35" name="Graphic 34" descr="Open book with solid fill">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3</xdr:col>
      <xdr:colOff>12700</xdr:colOff>
      <xdr:row>1</xdr:row>
      <xdr:rowOff>6350</xdr:rowOff>
    </xdr:from>
    <xdr:to>
      <xdr:col>14</xdr:col>
      <xdr:colOff>202045</xdr:colOff>
      <xdr:row>2</xdr:row>
      <xdr:rowOff>144318</xdr:rowOff>
    </xdr:to>
    <xdr:sp macro="" textlink="">
      <xdr:nvSpPr>
        <xdr:cNvPr id="36" name="Rectangle 35">
          <a:extLst>
            <a:ext uri="{FF2B5EF4-FFF2-40B4-BE49-F238E27FC236}">
              <a16:creationId xmlns:a16="http://schemas.microsoft.com/office/drawing/2014/main" id="{00000000-0008-0000-0200-000024000000}"/>
            </a:ext>
          </a:extLst>
        </xdr:cNvPr>
        <xdr:cNvSpPr/>
      </xdr:nvSpPr>
      <xdr:spPr>
        <a:xfrm>
          <a:off x="2148609" y="193964"/>
          <a:ext cx="11958493" cy="325581"/>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Products</a:t>
          </a:r>
          <a:endParaRPr lang="en-US" sz="1100" b="1">
            <a:solidFill>
              <a:srgbClr val="6A4C93"/>
            </a:solidFill>
          </a:endParaRPr>
        </a:p>
      </xdr:txBody>
    </xdr:sp>
    <xdr:clientData/>
  </xdr:twoCellAnchor>
  <xdr:twoCellAnchor>
    <xdr:from>
      <xdr:col>11</xdr:col>
      <xdr:colOff>655706</xdr:colOff>
      <xdr:row>13</xdr:row>
      <xdr:rowOff>151848</xdr:rowOff>
    </xdr:from>
    <xdr:to>
      <xdr:col>12</xdr:col>
      <xdr:colOff>400327</xdr:colOff>
      <xdr:row>15</xdr:row>
      <xdr:rowOff>27609</xdr:rowOff>
    </xdr:to>
    <xdr:sp macro="[0]!UpdatePrice" textlink="">
      <xdr:nvSpPr>
        <xdr:cNvPr id="2" name="Rectangle 1">
          <a:extLst>
            <a:ext uri="{FF2B5EF4-FFF2-40B4-BE49-F238E27FC236}">
              <a16:creationId xmlns:a16="http://schemas.microsoft.com/office/drawing/2014/main" id="{3923E418-917D-45EB-92EC-4D2295FDF875}"/>
            </a:ext>
          </a:extLst>
        </xdr:cNvPr>
        <xdr:cNvSpPr/>
      </xdr:nvSpPr>
      <xdr:spPr>
        <a:xfrm>
          <a:off x="11712989" y="2664239"/>
          <a:ext cx="890381" cy="262283"/>
        </a:xfrm>
        <a:prstGeom prst="rect">
          <a:avLst/>
        </a:prstGeom>
        <a:solidFill>
          <a:srgbClr val="6A4C9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Update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19" name="Rectangle 18">
          <a:extLst>
            <a:ext uri="{FF2B5EF4-FFF2-40B4-BE49-F238E27FC236}">
              <a16:creationId xmlns:a16="http://schemas.microsoft.com/office/drawing/2014/main" id="{00000000-0008-0000-0300-000013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00000000-0008-0000-0300-000014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00000000-0008-0000-0300-000015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00000000-0008-0000-0300-000016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300-000017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00000000-0008-0000-0300-000018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25" name="Rectangle: Rounded Corners 24">
          <a:hlinkClick xmlns:r="http://schemas.openxmlformats.org/officeDocument/2006/relationships" r:id="rId6"/>
          <a:extLst>
            <a:ext uri="{FF2B5EF4-FFF2-40B4-BE49-F238E27FC236}">
              <a16:creationId xmlns:a16="http://schemas.microsoft.com/office/drawing/2014/main" id="{00000000-0008-0000-0300-000019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26" name="Rectangle: Rounded Corners 25">
          <a:hlinkClick xmlns:r="http://schemas.openxmlformats.org/officeDocument/2006/relationships" r:id="rId7"/>
          <a:extLst>
            <a:ext uri="{FF2B5EF4-FFF2-40B4-BE49-F238E27FC236}">
              <a16:creationId xmlns:a16="http://schemas.microsoft.com/office/drawing/2014/main" id="{00000000-0008-0000-0300-00001A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27" name="Rectangle: Rounded Corners 26">
          <a:hlinkClick xmlns:r="http://schemas.openxmlformats.org/officeDocument/2006/relationships" r:id="rId8"/>
          <a:extLst>
            <a:ext uri="{FF2B5EF4-FFF2-40B4-BE49-F238E27FC236}">
              <a16:creationId xmlns:a16="http://schemas.microsoft.com/office/drawing/2014/main" id="{00000000-0008-0000-0300-00001B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6450</xdr:rowOff>
    </xdr:to>
    <xdr:pic>
      <xdr:nvPicPr>
        <xdr:cNvPr id="28" name="Graphic 27" descr="Books with solid fill">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29" name="Graphic 28" descr="Bar graph with upward trend with solid fill">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30" name="Graphic 29" descr="Presentation with bar chart with solid fill">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31" name="Graphic 30" descr="User with solid fill">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32" name="Graphic 31" descr="Shopping cart with solid fill">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33" name="Graphic 32" descr="Male profile with solid fil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34" name="Graphic 33" descr="Coins with solid fill">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35" name="Graphic 34" descr="Open book with solid fill">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2</xdr:col>
      <xdr:colOff>279400</xdr:colOff>
      <xdr:row>1</xdr:row>
      <xdr:rowOff>12700</xdr:rowOff>
    </xdr:from>
    <xdr:to>
      <xdr:col>15</xdr:col>
      <xdr:colOff>114300</xdr:colOff>
      <xdr:row>2</xdr:row>
      <xdr:rowOff>101600</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2127250" y="203200"/>
          <a:ext cx="8388350" cy="27940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purchases</a:t>
          </a:r>
          <a:endParaRPr lang="en-US" sz="1100" b="1">
            <a:solidFill>
              <a:srgbClr val="6A4C93"/>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19" name="Rectangle 18">
          <a:extLst>
            <a:ext uri="{FF2B5EF4-FFF2-40B4-BE49-F238E27FC236}">
              <a16:creationId xmlns:a16="http://schemas.microsoft.com/office/drawing/2014/main" id="{00000000-0008-0000-0400-000013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00000000-0008-0000-0400-000014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00000000-0008-0000-0400-000015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00000000-0008-0000-0400-000016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00000000-0008-0000-0400-000018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25" name="Rectangle: Rounded Corners 24">
          <a:hlinkClick xmlns:r="http://schemas.openxmlformats.org/officeDocument/2006/relationships" r:id="rId6"/>
          <a:extLst>
            <a:ext uri="{FF2B5EF4-FFF2-40B4-BE49-F238E27FC236}">
              <a16:creationId xmlns:a16="http://schemas.microsoft.com/office/drawing/2014/main" id="{00000000-0008-0000-0400-000019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26" name="Rectangle: Rounded Corners 25">
          <a:hlinkClick xmlns:r="http://schemas.openxmlformats.org/officeDocument/2006/relationships" r:id="rId7"/>
          <a:extLst>
            <a:ext uri="{FF2B5EF4-FFF2-40B4-BE49-F238E27FC236}">
              <a16:creationId xmlns:a16="http://schemas.microsoft.com/office/drawing/2014/main" id="{00000000-0008-0000-0400-00001A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27" name="Rectangle: Rounded Corners 26">
          <a:hlinkClick xmlns:r="http://schemas.openxmlformats.org/officeDocument/2006/relationships" r:id="rId8"/>
          <a:extLst>
            <a:ext uri="{FF2B5EF4-FFF2-40B4-BE49-F238E27FC236}">
              <a16:creationId xmlns:a16="http://schemas.microsoft.com/office/drawing/2014/main" id="{00000000-0008-0000-0400-00001B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6450</xdr:rowOff>
    </xdr:to>
    <xdr:pic>
      <xdr:nvPicPr>
        <xdr:cNvPr id="28" name="Graphic 27" descr="Books with solid fill">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29" name="Graphic 28" descr="Bar graph with upward trend with solid fill">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30" name="Graphic 29" descr="Presentation with bar chart with solid fill">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31" name="Graphic 30" descr="User with solid fill">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32" name="Graphic 31" descr="Shopping cart with solid fill">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33" name="Graphic 32" descr="Male profile with solid fill">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34" name="Graphic 33" descr="Coins with solid fill">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35" name="Graphic 34" descr="Open book with solid fill">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3</xdr:col>
      <xdr:colOff>6350</xdr:colOff>
      <xdr:row>1</xdr:row>
      <xdr:rowOff>6350</xdr:rowOff>
    </xdr:from>
    <xdr:to>
      <xdr:col>15</xdr:col>
      <xdr:colOff>6350</xdr:colOff>
      <xdr:row>2</xdr:row>
      <xdr:rowOff>107950</xdr:rowOff>
    </xdr:to>
    <xdr:sp macro="" textlink="">
      <xdr:nvSpPr>
        <xdr:cNvPr id="36" name="Rectangle 35">
          <a:extLst>
            <a:ext uri="{FF2B5EF4-FFF2-40B4-BE49-F238E27FC236}">
              <a16:creationId xmlns:a16="http://schemas.microsoft.com/office/drawing/2014/main" id="{00000000-0008-0000-0400-000024000000}"/>
            </a:ext>
          </a:extLst>
        </xdr:cNvPr>
        <xdr:cNvSpPr/>
      </xdr:nvSpPr>
      <xdr:spPr>
        <a:xfrm>
          <a:off x="2139950" y="196850"/>
          <a:ext cx="9232900" cy="29210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Sales</a:t>
          </a:r>
          <a:endParaRPr lang="en-US" sz="1100" b="1">
            <a:solidFill>
              <a:srgbClr val="6A4C93"/>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19" name="Rectangle 18">
          <a:extLst>
            <a:ext uri="{FF2B5EF4-FFF2-40B4-BE49-F238E27FC236}">
              <a16:creationId xmlns:a16="http://schemas.microsoft.com/office/drawing/2014/main" id="{00000000-0008-0000-0500-000013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00000000-0008-0000-0500-000014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00000000-0008-0000-0500-000015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22" name="Rectangle: Rounded Corners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24" name="Rectangle: Rounded Corners 23">
          <a:hlinkClick xmlns:r="http://schemas.openxmlformats.org/officeDocument/2006/relationships" r:id="rId5"/>
          <a:extLst>
            <a:ext uri="{FF2B5EF4-FFF2-40B4-BE49-F238E27FC236}">
              <a16:creationId xmlns:a16="http://schemas.microsoft.com/office/drawing/2014/main" id="{00000000-0008-0000-0500-000018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25" name="Rectangle: Rounded Corners 24">
          <a:hlinkClick xmlns:r="http://schemas.openxmlformats.org/officeDocument/2006/relationships" r:id="rId6"/>
          <a:extLst>
            <a:ext uri="{FF2B5EF4-FFF2-40B4-BE49-F238E27FC236}">
              <a16:creationId xmlns:a16="http://schemas.microsoft.com/office/drawing/2014/main" id="{00000000-0008-0000-0500-000019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26" name="Rectangle: Rounded Corners 25">
          <a:hlinkClick xmlns:r="http://schemas.openxmlformats.org/officeDocument/2006/relationships" r:id="rId7"/>
          <a:extLst>
            <a:ext uri="{FF2B5EF4-FFF2-40B4-BE49-F238E27FC236}">
              <a16:creationId xmlns:a16="http://schemas.microsoft.com/office/drawing/2014/main" id="{00000000-0008-0000-0500-00001A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27" name="Rectangle: Rounded Corners 26">
          <a:hlinkClick xmlns:r="http://schemas.openxmlformats.org/officeDocument/2006/relationships" r:id="rId8"/>
          <a:extLst>
            <a:ext uri="{FF2B5EF4-FFF2-40B4-BE49-F238E27FC236}">
              <a16:creationId xmlns:a16="http://schemas.microsoft.com/office/drawing/2014/main" id="{00000000-0008-0000-0500-00001B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6450</xdr:rowOff>
    </xdr:to>
    <xdr:pic>
      <xdr:nvPicPr>
        <xdr:cNvPr id="28" name="Graphic 27" descr="Books with solid fill">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29" name="Graphic 28" descr="Bar graph with upward trend with solid fill">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30" name="Graphic 29" descr="Presentation with bar chart with solid fill">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31" name="Graphic 30" descr="User with solid fill">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32" name="Graphic 31" descr="Shopping cart with solid fill">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33" name="Graphic 32" descr="Male profile with solid fill">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34" name="Graphic 33" descr="Coins with solid fill">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35" name="Graphic 34" descr="Open book with solid fill">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3</xdr:col>
      <xdr:colOff>0</xdr:colOff>
      <xdr:row>1</xdr:row>
      <xdr:rowOff>6350</xdr:rowOff>
    </xdr:from>
    <xdr:to>
      <xdr:col>13</xdr:col>
      <xdr:colOff>114300</xdr:colOff>
      <xdr:row>2</xdr:row>
      <xdr:rowOff>120650</xdr:rowOff>
    </xdr:to>
    <xdr:sp macro="" textlink="">
      <xdr:nvSpPr>
        <xdr:cNvPr id="36" name="Rectangle 35">
          <a:extLst>
            <a:ext uri="{FF2B5EF4-FFF2-40B4-BE49-F238E27FC236}">
              <a16:creationId xmlns:a16="http://schemas.microsoft.com/office/drawing/2014/main" id="{00000000-0008-0000-0500-000024000000}"/>
            </a:ext>
          </a:extLst>
        </xdr:cNvPr>
        <xdr:cNvSpPr/>
      </xdr:nvSpPr>
      <xdr:spPr>
        <a:xfrm>
          <a:off x="2070100" y="196850"/>
          <a:ext cx="8375650" cy="30480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Inventory</a:t>
          </a:r>
          <a:endParaRPr lang="en-US" sz="1100" b="1">
            <a:solidFill>
              <a:srgbClr val="6A4C93"/>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36" name="Rectangle 35">
          <a:extLst>
            <a:ext uri="{FF2B5EF4-FFF2-40B4-BE49-F238E27FC236}">
              <a16:creationId xmlns:a16="http://schemas.microsoft.com/office/drawing/2014/main" id="{00000000-0008-0000-0600-000024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39" name="Rectangle: Rounded Corners 38">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40" name="Rectangle: Rounded Corners 39">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41" name="Rectangle: Rounded Corners 40">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42" name="Rectangle: Rounded Corners 41">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43" name="Rectangle: Rounded Corners 4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44" name="Rectangle: Rounded Corners 43">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6450</xdr:rowOff>
    </xdr:to>
    <xdr:pic>
      <xdr:nvPicPr>
        <xdr:cNvPr id="45" name="Graphic 44" descr="Books with solid fill">
          <a:extLst>
            <a:ext uri="{FF2B5EF4-FFF2-40B4-BE49-F238E27FC236}">
              <a16:creationId xmlns:a16="http://schemas.microsoft.com/office/drawing/2014/main" id="{00000000-0008-0000-06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46" name="Graphic 45" descr="Bar graph with upward trend with solid fill">
          <a:extLst>
            <a:ext uri="{FF2B5EF4-FFF2-40B4-BE49-F238E27FC236}">
              <a16:creationId xmlns:a16="http://schemas.microsoft.com/office/drawing/2014/main" id="{00000000-0008-0000-0600-00002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47" name="Graphic 46" descr="Presentation with bar chart with solid fill">
          <a:extLst>
            <a:ext uri="{FF2B5EF4-FFF2-40B4-BE49-F238E27FC236}">
              <a16:creationId xmlns:a16="http://schemas.microsoft.com/office/drawing/2014/main" id="{00000000-0008-0000-0600-00002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48" name="Graphic 47" descr="User with solid fill">
          <a:extLst>
            <a:ext uri="{FF2B5EF4-FFF2-40B4-BE49-F238E27FC236}">
              <a16:creationId xmlns:a16="http://schemas.microsoft.com/office/drawing/2014/main" id="{00000000-0008-0000-0600-00003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49" name="Graphic 48" descr="Shopping cart with solid fill">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50" name="Graphic 49" descr="Male profile with solid fill">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51" name="Graphic 50" descr="Coins with solid fill">
          <a:extLst>
            <a:ext uri="{FF2B5EF4-FFF2-40B4-BE49-F238E27FC236}">
              <a16:creationId xmlns:a16="http://schemas.microsoft.com/office/drawing/2014/main" id="{00000000-0008-0000-0600-00003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52" name="Graphic 51" descr="Open book with solid fill">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2</xdr:col>
      <xdr:colOff>203200</xdr:colOff>
      <xdr:row>1</xdr:row>
      <xdr:rowOff>25400</xdr:rowOff>
    </xdr:from>
    <xdr:to>
      <xdr:col>11</xdr:col>
      <xdr:colOff>450850</xdr:colOff>
      <xdr:row>2</xdr:row>
      <xdr:rowOff>120650</xdr:rowOff>
    </xdr:to>
    <xdr:sp macro="" textlink="">
      <xdr:nvSpPr>
        <xdr:cNvPr id="53" name="Rectangle 52">
          <a:extLst>
            <a:ext uri="{FF2B5EF4-FFF2-40B4-BE49-F238E27FC236}">
              <a16:creationId xmlns:a16="http://schemas.microsoft.com/office/drawing/2014/main" id="{00000000-0008-0000-0600-000035000000}"/>
            </a:ext>
          </a:extLst>
        </xdr:cNvPr>
        <xdr:cNvSpPr/>
      </xdr:nvSpPr>
      <xdr:spPr>
        <a:xfrm>
          <a:off x="2051050" y="215900"/>
          <a:ext cx="5334000" cy="2857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customers</a:t>
          </a:r>
          <a:endParaRPr lang="en-US" sz="1100" b="1">
            <a:solidFill>
              <a:srgbClr val="6A4C93"/>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158750</xdr:colOff>
      <xdr:row>1</xdr:row>
      <xdr:rowOff>5370</xdr:rowOff>
    </xdr:from>
    <xdr:to>
      <xdr:col>1</xdr:col>
      <xdr:colOff>1231900</xdr:colOff>
      <xdr:row>24</xdr:row>
      <xdr:rowOff>37120</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158750" y="195870"/>
          <a:ext cx="1682750" cy="441325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6</xdr:row>
      <xdr:rowOff>81643</xdr:rowOff>
    </xdr:from>
    <xdr:to>
      <xdr:col>1</xdr:col>
      <xdr:colOff>990600</xdr:colOff>
      <xdr:row>8</xdr:row>
      <xdr:rowOff>11793</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700-000025000000}"/>
            </a:ext>
          </a:extLst>
        </xdr:cNvPr>
        <xdr:cNvSpPr/>
      </xdr:nvSpPr>
      <xdr:spPr>
        <a:xfrm>
          <a:off x="615950" y="1224643"/>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Entry</a:t>
          </a:r>
          <a:r>
            <a:rPr lang="en-US" sz="1100" b="1" baseline="0">
              <a:solidFill>
                <a:srgbClr val="EDE7FF"/>
              </a:solidFill>
            </a:rPr>
            <a:t> </a:t>
          </a:r>
          <a:r>
            <a:rPr lang="en-US" sz="1200" b="1" baseline="0">
              <a:solidFill>
                <a:srgbClr val="EDE7FF"/>
              </a:solidFill>
            </a:rPr>
            <a:t>Form</a:t>
          </a:r>
          <a:endParaRPr lang="en-US" sz="1100" b="1">
            <a:solidFill>
              <a:srgbClr val="EDE7FF"/>
            </a:solidFill>
          </a:endParaRPr>
        </a:p>
      </xdr:txBody>
    </xdr:sp>
    <xdr:clientData/>
  </xdr:twoCellAnchor>
  <xdr:twoCellAnchor>
    <xdr:from>
      <xdr:col>1</xdr:col>
      <xdr:colOff>6350</xdr:colOff>
      <xdr:row>8</xdr:row>
      <xdr:rowOff>144236</xdr:rowOff>
    </xdr:from>
    <xdr:to>
      <xdr:col>1</xdr:col>
      <xdr:colOff>990600</xdr:colOff>
      <xdr:row>10</xdr:row>
      <xdr:rowOff>74386</xdr:rowOff>
    </xdr:to>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700-000026000000}"/>
            </a:ext>
          </a:extLst>
        </xdr:cNvPr>
        <xdr:cNvSpPr/>
      </xdr:nvSpPr>
      <xdr:spPr>
        <a:xfrm>
          <a:off x="615950" y="1668236"/>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Products</a:t>
          </a:r>
          <a:endParaRPr lang="en-US" sz="1100" b="1">
            <a:solidFill>
              <a:srgbClr val="EDE7FF"/>
            </a:solidFill>
          </a:endParaRPr>
        </a:p>
      </xdr:txBody>
    </xdr:sp>
    <xdr:clientData/>
  </xdr:twoCellAnchor>
  <xdr:twoCellAnchor>
    <xdr:from>
      <xdr:col>1</xdr:col>
      <xdr:colOff>6350</xdr:colOff>
      <xdr:row>11</xdr:row>
      <xdr:rowOff>16329</xdr:rowOff>
    </xdr:from>
    <xdr:to>
      <xdr:col>1</xdr:col>
      <xdr:colOff>990600</xdr:colOff>
      <xdr:row>12</xdr:row>
      <xdr:rowOff>136979</xdr:rowOff>
    </xdr:to>
    <xdr:sp macro="" textlink="">
      <xdr:nvSpPr>
        <xdr:cNvPr id="39" name="Rectangle: Rounded Corners 38">
          <a:hlinkClick xmlns:r="http://schemas.openxmlformats.org/officeDocument/2006/relationships" r:id="rId3"/>
          <a:extLst>
            <a:ext uri="{FF2B5EF4-FFF2-40B4-BE49-F238E27FC236}">
              <a16:creationId xmlns:a16="http://schemas.microsoft.com/office/drawing/2014/main" id="{00000000-0008-0000-0700-000027000000}"/>
            </a:ext>
          </a:extLst>
        </xdr:cNvPr>
        <xdr:cNvSpPr/>
      </xdr:nvSpPr>
      <xdr:spPr>
        <a:xfrm>
          <a:off x="615950" y="2111829"/>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Sales</a:t>
          </a:r>
          <a:endParaRPr lang="en-US" sz="1100" b="1"/>
        </a:p>
      </xdr:txBody>
    </xdr:sp>
    <xdr:clientData/>
  </xdr:twoCellAnchor>
  <xdr:twoCellAnchor>
    <xdr:from>
      <xdr:col>1</xdr:col>
      <xdr:colOff>6350</xdr:colOff>
      <xdr:row>13</xdr:row>
      <xdr:rowOff>78922</xdr:rowOff>
    </xdr:from>
    <xdr:to>
      <xdr:col>1</xdr:col>
      <xdr:colOff>990600</xdr:colOff>
      <xdr:row>15</xdr:row>
      <xdr:rowOff>9072</xdr:rowOff>
    </xdr:to>
    <xdr:sp macro="" textlink="">
      <xdr:nvSpPr>
        <xdr:cNvPr id="40" name="Rectangle: Rounded Corners 39">
          <a:hlinkClick xmlns:r="http://schemas.openxmlformats.org/officeDocument/2006/relationships" r:id="rId4"/>
          <a:extLst>
            <a:ext uri="{FF2B5EF4-FFF2-40B4-BE49-F238E27FC236}">
              <a16:creationId xmlns:a16="http://schemas.microsoft.com/office/drawing/2014/main" id="{00000000-0008-0000-0700-000028000000}"/>
            </a:ext>
          </a:extLst>
        </xdr:cNvPr>
        <xdr:cNvSpPr/>
      </xdr:nvSpPr>
      <xdr:spPr>
        <a:xfrm>
          <a:off x="615950" y="2555422"/>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Purchases</a:t>
          </a:r>
          <a:endParaRPr lang="en-US" sz="1100" b="1">
            <a:solidFill>
              <a:srgbClr val="EDE7FF"/>
            </a:solidFill>
          </a:endParaRPr>
        </a:p>
      </xdr:txBody>
    </xdr:sp>
    <xdr:clientData/>
  </xdr:twoCellAnchor>
  <xdr:twoCellAnchor>
    <xdr:from>
      <xdr:col>1</xdr:col>
      <xdr:colOff>6350</xdr:colOff>
      <xdr:row>18</xdr:row>
      <xdr:rowOff>13608</xdr:rowOff>
    </xdr:from>
    <xdr:to>
      <xdr:col>1</xdr:col>
      <xdr:colOff>990600</xdr:colOff>
      <xdr:row>19</xdr:row>
      <xdr:rowOff>134258</xdr:rowOff>
    </xdr:to>
    <xdr:sp macro="" textlink="">
      <xdr:nvSpPr>
        <xdr:cNvPr id="41" name="Rectangle: Rounded Corners 40">
          <a:hlinkClick xmlns:r="http://schemas.openxmlformats.org/officeDocument/2006/relationships" r:id="rId5"/>
          <a:extLst>
            <a:ext uri="{FF2B5EF4-FFF2-40B4-BE49-F238E27FC236}">
              <a16:creationId xmlns:a16="http://schemas.microsoft.com/office/drawing/2014/main" id="{00000000-0008-0000-0700-000029000000}"/>
            </a:ext>
          </a:extLst>
        </xdr:cNvPr>
        <xdr:cNvSpPr/>
      </xdr:nvSpPr>
      <xdr:spPr>
        <a:xfrm>
          <a:off x="615950" y="3442608"/>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Customers</a:t>
          </a:r>
          <a:endParaRPr lang="en-US" sz="1100" b="1">
            <a:solidFill>
              <a:srgbClr val="EDE7FF"/>
            </a:solidFill>
          </a:endParaRPr>
        </a:p>
      </xdr:txBody>
    </xdr:sp>
    <xdr:clientData/>
  </xdr:twoCellAnchor>
  <xdr:twoCellAnchor>
    <xdr:from>
      <xdr:col>1</xdr:col>
      <xdr:colOff>6350</xdr:colOff>
      <xdr:row>20</xdr:row>
      <xdr:rowOff>76200</xdr:rowOff>
    </xdr:from>
    <xdr:to>
      <xdr:col>1</xdr:col>
      <xdr:colOff>990600</xdr:colOff>
      <xdr:row>22</xdr:row>
      <xdr:rowOff>6350</xdr:rowOff>
    </xdr:to>
    <xdr:sp macro="" textlink="">
      <xdr:nvSpPr>
        <xdr:cNvPr id="42" name="Rectangle: Rounded Corners 41">
          <a:hlinkClick xmlns:r="http://schemas.openxmlformats.org/officeDocument/2006/relationships" r:id="rId6"/>
          <a:extLst>
            <a:ext uri="{FF2B5EF4-FFF2-40B4-BE49-F238E27FC236}">
              <a16:creationId xmlns:a16="http://schemas.microsoft.com/office/drawing/2014/main" id="{00000000-0008-0000-0700-00002A000000}"/>
            </a:ext>
          </a:extLst>
        </xdr:cNvPr>
        <xdr:cNvSpPr/>
      </xdr:nvSpPr>
      <xdr:spPr>
        <a:xfrm>
          <a:off x="615950" y="3886200"/>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Vendors</a:t>
          </a:r>
          <a:endParaRPr lang="en-US" sz="1100" b="1">
            <a:solidFill>
              <a:srgbClr val="EDE7FF"/>
            </a:solidFill>
          </a:endParaRPr>
        </a:p>
      </xdr:txBody>
    </xdr:sp>
    <xdr:clientData/>
  </xdr:twoCellAnchor>
  <xdr:twoCellAnchor>
    <xdr:from>
      <xdr:col>1</xdr:col>
      <xdr:colOff>6350</xdr:colOff>
      <xdr:row>15</xdr:row>
      <xdr:rowOff>141515</xdr:rowOff>
    </xdr:from>
    <xdr:to>
      <xdr:col>1</xdr:col>
      <xdr:colOff>990600</xdr:colOff>
      <xdr:row>17</xdr:row>
      <xdr:rowOff>71665</xdr:rowOff>
    </xdr:to>
    <xdr:sp macro="" textlink="">
      <xdr:nvSpPr>
        <xdr:cNvPr id="43" name="Rectangle: Rounded Corners 42">
          <a:hlinkClick xmlns:r="http://schemas.openxmlformats.org/officeDocument/2006/relationships" r:id="rId7"/>
          <a:extLst>
            <a:ext uri="{FF2B5EF4-FFF2-40B4-BE49-F238E27FC236}">
              <a16:creationId xmlns:a16="http://schemas.microsoft.com/office/drawing/2014/main" id="{00000000-0008-0000-0700-00002B000000}"/>
            </a:ext>
          </a:extLst>
        </xdr:cNvPr>
        <xdr:cNvSpPr/>
      </xdr:nvSpPr>
      <xdr:spPr>
        <a:xfrm>
          <a:off x="615950" y="2999015"/>
          <a:ext cx="984250" cy="3111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Inventory</a:t>
          </a:r>
          <a:endParaRPr lang="en-US" sz="1100" b="1">
            <a:solidFill>
              <a:srgbClr val="EDE7FF"/>
            </a:solidFill>
          </a:endParaRPr>
        </a:p>
      </xdr:txBody>
    </xdr:sp>
    <xdr:clientData/>
  </xdr:twoCellAnchor>
  <xdr:twoCellAnchor>
    <xdr:from>
      <xdr:col>1</xdr:col>
      <xdr:colOff>0</xdr:colOff>
      <xdr:row>4</xdr:row>
      <xdr:rowOff>25400</xdr:rowOff>
    </xdr:from>
    <xdr:to>
      <xdr:col>1</xdr:col>
      <xdr:colOff>984250</xdr:colOff>
      <xdr:row>5</xdr:row>
      <xdr:rowOff>133350</xdr:rowOff>
    </xdr:to>
    <xdr:sp macro="" textlink="">
      <xdr:nvSpPr>
        <xdr:cNvPr id="44" name="Rectangle: Rounded Corners 43">
          <a:hlinkClick xmlns:r="http://schemas.openxmlformats.org/officeDocument/2006/relationships" r:id="rId8"/>
          <a:extLst>
            <a:ext uri="{FF2B5EF4-FFF2-40B4-BE49-F238E27FC236}">
              <a16:creationId xmlns:a16="http://schemas.microsoft.com/office/drawing/2014/main" id="{00000000-0008-0000-0700-00002C000000}"/>
            </a:ext>
          </a:extLst>
        </xdr:cNvPr>
        <xdr:cNvSpPr/>
      </xdr:nvSpPr>
      <xdr:spPr>
        <a:xfrm>
          <a:off x="609600" y="787400"/>
          <a:ext cx="984250" cy="298450"/>
        </a:xfrm>
        <a:prstGeom prst="roundRect">
          <a:avLst/>
        </a:prstGeom>
        <a:solidFill>
          <a:srgbClr val="6A4C9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EDE7FF"/>
              </a:solidFill>
            </a:rPr>
            <a:t>Dashboard</a:t>
          </a:r>
        </a:p>
      </xdr:txBody>
    </xdr:sp>
    <xdr:clientData/>
  </xdr:twoCellAnchor>
  <xdr:twoCellAnchor editAs="oneCell">
    <xdr:from>
      <xdr:col>0</xdr:col>
      <xdr:colOff>336550</xdr:colOff>
      <xdr:row>6</xdr:row>
      <xdr:rowOff>165100</xdr:rowOff>
    </xdr:from>
    <xdr:to>
      <xdr:col>0</xdr:col>
      <xdr:colOff>552550</xdr:colOff>
      <xdr:row>8</xdr:row>
      <xdr:rowOff>6450</xdr:rowOff>
    </xdr:to>
    <xdr:pic>
      <xdr:nvPicPr>
        <xdr:cNvPr id="45" name="Graphic 44" descr="Books with solid fill">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36550" y="1308100"/>
          <a:ext cx="216000" cy="216000"/>
        </a:xfrm>
        <a:prstGeom prst="rect">
          <a:avLst/>
        </a:prstGeom>
      </xdr:spPr>
    </xdr:pic>
    <xdr:clientData/>
  </xdr:twoCellAnchor>
  <xdr:twoCellAnchor editAs="oneCell">
    <xdr:from>
      <xdr:col>0</xdr:col>
      <xdr:colOff>342900</xdr:colOff>
      <xdr:row>11</xdr:row>
      <xdr:rowOff>95250</xdr:rowOff>
    </xdr:from>
    <xdr:to>
      <xdr:col>0</xdr:col>
      <xdr:colOff>558900</xdr:colOff>
      <xdr:row>12</xdr:row>
      <xdr:rowOff>120750</xdr:rowOff>
    </xdr:to>
    <xdr:pic>
      <xdr:nvPicPr>
        <xdr:cNvPr id="46" name="Graphic 45" descr="Bar graph with upward trend with solid fill">
          <a:extLst>
            <a:ext uri="{FF2B5EF4-FFF2-40B4-BE49-F238E27FC236}">
              <a16:creationId xmlns:a16="http://schemas.microsoft.com/office/drawing/2014/main" id="{00000000-0008-0000-0700-00002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2900" y="2190750"/>
          <a:ext cx="216000" cy="216000"/>
        </a:xfrm>
        <a:prstGeom prst="rect">
          <a:avLst/>
        </a:prstGeom>
      </xdr:spPr>
    </xdr:pic>
    <xdr:clientData/>
  </xdr:twoCellAnchor>
  <xdr:twoCellAnchor editAs="oneCell">
    <xdr:from>
      <xdr:col>0</xdr:col>
      <xdr:colOff>355600</xdr:colOff>
      <xdr:row>4</xdr:row>
      <xdr:rowOff>122710</xdr:rowOff>
    </xdr:from>
    <xdr:to>
      <xdr:col>0</xdr:col>
      <xdr:colOff>571600</xdr:colOff>
      <xdr:row>5</xdr:row>
      <xdr:rowOff>148210</xdr:rowOff>
    </xdr:to>
    <xdr:pic>
      <xdr:nvPicPr>
        <xdr:cNvPr id="47" name="Graphic 46" descr="Presentation with bar chart with solid fill">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55600" y="884710"/>
          <a:ext cx="216000" cy="216000"/>
        </a:xfrm>
        <a:prstGeom prst="rect">
          <a:avLst/>
        </a:prstGeom>
      </xdr:spPr>
    </xdr:pic>
    <xdr:clientData/>
  </xdr:twoCellAnchor>
  <xdr:twoCellAnchor editAs="oneCell">
    <xdr:from>
      <xdr:col>0</xdr:col>
      <xdr:colOff>330200</xdr:colOff>
      <xdr:row>18</xdr:row>
      <xdr:rowOff>49990</xdr:rowOff>
    </xdr:from>
    <xdr:to>
      <xdr:col>0</xdr:col>
      <xdr:colOff>546200</xdr:colOff>
      <xdr:row>19</xdr:row>
      <xdr:rowOff>75490</xdr:rowOff>
    </xdr:to>
    <xdr:pic>
      <xdr:nvPicPr>
        <xdr:cNvPr id="48" name="Graphic 47" descr="User with solid fill">
          <a:extLst>
            <a:ext uri="{FF2B5EF4-FFF2-40B4-BE49-F238E27FC236}">
              <a16:creationId xmlns:a16="http://schemas.microsoft.com/office/drawing/2014/main" id="{00000000-0008-0000-0700-000030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330200" y="3478990"/>
          <a:ext cx="216000" cy="216000"/>
        </a:xfrm>
        <a:prstGeom prst="rect">
          <a:avLst/>
        </a:prstGeom>
      </xdr:spPr>
    </xdr:pic>
    <xdr:clientData/>
  </xdr:twoCellAnchor>
  <xdr:twoCellAnchor editAs="oneCell">
    <xdr:from>
      <xdr:col>0</xdr:col>
      <xdr:colOff>323850</xdr:colOff>
      <xdr:row>13</xdr:row>
      <xdr:rowOff>148550</xdr:rowOff>
    </xdr:from>
    <xdr:to>
      <xdr:col>0</xdr:col>
      <xdr:colOff>539850</xdr:colOff>
      <xdr:row>14</xdr:row>
      <xdr:rowOff>174050</xdr:rowOff>
    </xdr:to>
    <xdr:pic>
      <xdr:nvPicPr>
        <xdr:cNvPr id="49" name="Graphic 48" descr="Shopping cart with solid fill">
          <a:extLst>
            <a:ext uri="{FF2B5EF4-FFF2-40B4-BE49-F238E27FC236}">
              <a16:creationId xmlns:a16="http://schemas.microsoft.com/office/drawing/2014/main" id="{00000000-0008-0000-0700-000031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23850" y="2625050"/>
          <a:ext cx="216000" cy="216000"/>
        </a:xfrm>
        <a:prstGeom prst="rect">
          <a:avLst/>
        </a:prstGeom>
      </xdr:spPr>
    </xdr:pic>
    <xdr:clientData/>
  </xdr:twoCellAnchor>
  <xdr:twoCellAnchor editAs="oneCell">
    <xdr:from>
      <xdr:col>0</xdr:col>
      <xdr:colOff>330200</xdr:colOff>
      <xdr:row>20</xdr:row>
      <xdr:rowOff>180030</xdr:rowOff>
    </xdr:from>
    <xdr:to>
      <xdr:col>0</xdr:col>
      <xdr:colOff>546200</xdr:colOff>
      <xdr:row>22</xdr:row>
      <xdr:rowOff>15030</xdr:rowOff>
    </xdr:to>
    <xdr:pic>
      <xdr:nvPicPr>
        <xdr:cNvPr id="50" name="Graphic 49" descr="Male profile with solid fill">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30200" y="3990030"/>
          <a:ext cx="216000" cy="216000"/>
        </a:xfrm>
        <a:prstGeom prst="rect">
          <a:avLst/>
        </a:prstGeom>
      </xdr:spPr>
    </xdr:pic>
    <xdr:clientData/>
  </xdr:twoCellAnchor>
  <xdr:twoCellAnchor editAs="oneCell">
    <xdr:from>
      <xdr:col>0</xdr:col>
      <xdr:colOff>311150</xdr:colOff>
      <xdr:row>8</xdr:row>
      <xdr:rowOff>170200</xdr:rowOff>
    </xdr:from>
    <xdr:to>
      <xdr:col>0</xdr:col>
      <xdr:colOff>527150</xdr:colOff>
      <xdr:row>10</xdr:row>
      <xdr:rowOff>5200</xdr:rowOff>
    </xdr:to>
    <xdr:pic>
      <xdr:nvPicPr>
        <xdr:cNvPr id="51" name="Graphic 50" descr="Coins with solid fill">
          <a:extLst>
            <a:ext uri="{FF2B5EF4-FFF2-40B4-BE49-F238E27FC236}">
              <a16:creationId xmlns:a16="http://schemas.microsoft.com/office/drawing/2014/main" id="{00000000-0008-0000-0700-00003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11150" y="1694200"/>
          <a:ext cx="216000" cy="216000"/>
        </a:xfrm>
        <a:prstGeom prst="rect">
          <a:avLst/>
        </a:prstGeom>
      </xdr:spPr>
    </xdr:pic>
    <xdr:clientData/>
  </xdr:twoCellAnchor>
  <xdr:twoCellAnchor editAs="oneCell">
    <xdr:from>
      <xdr:col>0</xdr:col>
      <xdr:colOff>317500</xdr:colOff>
      <xdr:row>15</xdr:row>
      <xdr:rowOff>171450</xdr:rowOff>
    </xdr:from>
    <xdr:to>
      <xdr:col>0</xdr:col>
      <xdr:colOff>533500</xdr:colOff>
      <xdr:row>17</xdr:row>
      <xdr:rowOff>12800</xdr:rowOff>
    </xdr:to>
    <xdr:pic>
      <xdr:nvPicPr>
        <xdr:cNvPr id="52" name="Graphic 51" descr="Open book with solid fill">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17500" y="3028950"/>
          <a:ext cx="216000" cy="216000"/>
        </a:xfrm>
        <a:prstGeom prst="rect">
          <a:avLst/>
        </a:prstGeom>
      </xdr:spPr>
    </xdr:pic>
    <xdr:clientData/>
  </xdr:twoCellAnchor>
  <xdr:twoCellAnchor>
    <xdr:from>
      <xdr:col>2</xdr:col>
      <xdr:colOff>234950</xdr:colOff>
      <xdr:row>1</xdr:row>
      <xdr:rowOff>0</xdr:rowOff>
    </xdr:from>
    <xdr:to>
      <xdr:col>11</xdr:col>
      <xdr:colOff>393700</xdr:colOff>
      <xdr:row>2</xdr:row>
      <xdr:rowOff>88900</xdr:rowOff>
    </xdr:to>
    <xdr:sp macro="" textlink="">
      <xdr:nvSpPr>
        <xdr:cNvPr id="53" name="Rectangle 52">
          <a:extLst>
            <a:ext uri="{FF2B5EF4-FFF2-40B4-BE49-F238E27FC236}">
              <a16:creationId xmlns:a16="http://schemas.microsoft.com/office/drawing/2014/main" id="{00000000-0008-0000-0700-000035000000}"/>
            </a:ext>
          </a:extLst>
        </xdr:cNvPr>
        <xdr:cNvSpPr/>
      </xdr:nvSpPr>
      <xdr:spPr>
        <a:xfrm>
          <a:off x="2082800" y="190500"/>
          <a:ext cx="5289550" cy="279400"/>
        </a:xfrm>
        <a:prstGeom prst="rect">
          <a:avLst/>
        </a:prstGeom>
        <a:solidFill>
          <a:srgbClr val="D2C3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6A4C93"/>
              </a:solidFill>
            </a:rPr>
            <a:t>Vendors</a:t>
          </a:r>
          <a:endParaRPr lang="en-US" sz="1100" b="1">
            <a:solidFill>
              <a:srgbClr val="6A4C93"/>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62268519" createdVersion="5" refreshedVersion="7" minRefreshableVersion="3" recordCount="0" supportSubquery="1" supportAdvancedDrill="1" xr:uid="{B5859BCD-0C4E-450F-A7F4-C30C8832111F}">
  <cacheSource type="external" connectionId="1"/>
  <cacheFields count="4">
    <cacheField name="[Measures].[Sum of Current Stock]" caption="Sum of Current Stock" numFmtId="0" hierarchy="60" level="32767"/>
    <cacheField name="[Inventory-table].[Product Name].[Product Name]" caption="Product Name" numFmtId="0" hierarchy="3" level="1">
      <sharedItems count="10">
        <s v="apple"/>
        <s v="Aura"/>
        <s v="Bare vanilla"/>
        <s v="Dynamo"/>
        <s v="Energy"/>
        <s v="homme"/>
        <s v="maple"/>
        <s v="No.814"/>
        <s v="Sensitive"/>
        <s v="wish"/>
      </sharedItems>
    </cacheField>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2" memberValueDatatype="130" unbalanced="0">
      <fieldsUsage count="2">
        <fieldUsage x="-1"/>
        <fieldUsage x="1"/>
      </fieldsUsage>
    </cacheHierarchy>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2"/>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oneField="1" hidden="1">
      <fieldsUsage count="1">
        <fieldUsage x="0"/>
      </fieldsUsage>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67708331" createdVersion="5" refreshedVersion="7" minRefreshableVersion="3" recordCount="0" supportSubquery="1" supportAdvancedDrill="1" xr:uid="{0A17F3AA-0829-4C76-8E32-4CB3EF645565}">
  <cacheSource type="external" connectionId="1"/>
  <cacheFields count="3">
    <cacheField name="[Measures].[Total Revenue]" caption="Total Revenue" numFmtId="0" hierarchy="44"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oneField="1">
      <fieldsUsage count="1">
        <fieldUsage x="0"/>
      </fieldsUsage>
    </cacheHierarchy>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70717594" createdVersion="5" refreshedVersion="7" minRefreshableVersion="3" recordCount="0" supportSubquery="1" supportAdvancedDrill="1" xr:uid="{0439330F-95DA-47B0-8FB6-FCABB23D8F3A}">
  <cacheSource type="external" connectionId="1"/>
  <cacheFields count="3">
    <cacheField name="[Measures].[Total profit]" caption="Total profit" numFmtId="0" hierarchy="46"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oneField="1">
      <fieldsUsage count="1">
        <fieldUsage x="0"/>
      </fieldsUsage>
    </cacheHierarchy>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75694444" createdVersion="5" refreshedVersion="7" minRefreshableVersion="3" recordCount="0" supportSubquery="1" supportAdvancedDrill="1" xr:uid="{61A79BFB-05CA-4DB2-8B19-FBC0818363BA}">
  <cacheSource type="external" connectionId="1"/>
  <cacheFields count="3">
    <cacheField name="[Measures].[profit margin]" caption="profit margin" numFmtId="0" hierarchy="47"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oneField="1">
      <fieldsUsage count="1">
        <fieldUsage x="0"/>
      </fieldsUsage>
    </cacheHierarchy>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80208331" createdVersion="5" refreshedVersion="7" minRefreshableVersion="3" recordCount="0" supportSubquery="1" supportAdvancedDrill="1" xr:uid="{DD280CE4-A44C-49CA-A434-C045182C4091}">
  <cacheSource type="external" connectionId="1"/>
  <cacheFields count="3">
    <cacheField name="[Measures].[Total Orders]" caption="Total Orders" numFmtId="0" hierarchy="51"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oneField="1">
      <fieldsUsage count="1">
        <fieldUsage x="0"/>
      </fieldsUsage>
    </cacheHierarchy>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8460648" createdVersion="5" refreshedVersion="7" minRefreshableVersion="3" recordCount="0" supportSubquery="1" supportAdvancedDrill="1" xr:uid="{B1544257-2CB7-4F88-8352-2AFB4DF76136}">
  <cacheSource type="external" connectionId="1"/>
  <cacheFields count="3">
    <cacheField name="[Measures].[Cogs]" caption="Cogs" numFmtId="0" hierarchy="45"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oneField="1">
      <fieldsUsage count="1">
        <fieldUsage x="0"/>
      </fieldsUsage>
    </cacheHierarchy>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89004629" createdVersion="5" refreshedVersion="7" minRefreshableVersion="3" recordCount="0" supportSubquery="1" supportAdvancedDrill="1" xr:uid="{794B0E95-7D30-4897-80C4-D6C1ED1044CF}">
  <cacheSource type="external" connectionId="1"/>
  <cacheFields count="3">
    <cacheField name="[Measures].[Current stock qty]" caption="Current stock qty" numFmtId="0" hierarchy="48"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oneField="1">
      <fieldsUsage count="1">
        <fieldUsage x="0"/>
      </fieldsUsage>
    </cacheHierarchy>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93518517" createdVersion="5" refreshedVersion="7" minRefreshableVersion="3" recordCount="0" supportSubquery="1" supportAdvancedDrill="1" xr:uid="{2E984D79-5EB5-4369-B0AB-0061ED1DAF83}">
  <cacheSource type="external" connectionId="1"/>
  <cacheFields count="3">
    <cacheField name="[Measures].[Inventory value]" caption="Inventory value" numFmtId="0" hierarchy="49"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oneField="1">
      <fieldsUsage count="1">
        <fieldUsage x="0"/>
      </fieldsUsage>
    </cacheHierarchy>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398148151" createdVersion="5" refreshedVersion="7" minRefreshableVersion="3" recordCount="0" supportSubquery="1" supportAdvancedDrill="1" xr:uid="{E0456FAE-A165-4751-B890-385984F95476}">
  <cacheSource type="external" connectionId="1"/>
  <cacheFields count="3">
    <cacheField name="[Measures].[Stock risk count]" caption="Stock risk count" numFmtId="0" hierarchy="50"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1"/>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oneField="1">
      <fieldsUsage count="1">
        <fieldUsage x="0"/>
      </fieldsUsage>
    </cacheHierarchy>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03240739" createdVersion="5" refreshedVersion="7" minRefreshableVersion="3" recordCount="0" supportSubquery="1" supportAdvancedDrill="1" xr:uid="{3765699E-6FA8-4EDD-8B4D-037F3CE25512}">
  <cacheSource type="external" connectionId="1"/>
  <cacheFields count="4">
    <cacheField name="[Sales-table].[Date].[Date]" caption="Date" numFmtId="0" hierarchy="28" level="1">
      <sharedItems containsSemiMixedTypes="0" containsNonDate="0" containsDate="1" containsString="0" minDate="2026-03-01T00:00:00" maxDate="2026-03-03T00:00:00" count="2">
        <d v="2026-03-01T00:00:00"/>
        <d v="2026-03-02T00:00:00"/>
      </sharedItems>
    </cacheField>
    <cacheField name="[Measures].[Total Revenue]" caption="Total Revenue" numFmtId="0" hierarchy="44" level="32767"/>
    <cacheField name="[Sales-table].[Date (Month)].[Date (Month)]" caption="Date (Month)" numFmtId="0" hierarchy="42" level="1">
      <sharedItems count="1">
        <s v="Mar"/>
      </sharedItems>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0"/>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2" memberValueDatatype="130" unbalanced="0">
      <fieldsUsage count="2">
        <fieldUsage x="-1"/>
        <fieldUsage x="2"/>
      </fieldsUsage>
    </cacheHierarchy>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oneField="1">
      <fieldsUsage count="1">
        <fieldUsage x="1"/>
      </fieldsUsage>
    </cacheHierarchy>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07986111" createdVersion="5" refreshedVersion="7" minRefreshableVersion="3" recordCount="0" supportSubquery="1" supportAdvancedDrill="1" xr:uid="{66BF006A-A504-40C4-B3C9-126B079F98F5}">
  <cacheSource type="external" connectionId="1"/>
  <cacheFields count="3">
    <cacheField name="[Sales-table].[Date].[Date]" caption="Date" numFmtId="0" hierarchy="28" level="1">
      <sharedItems containsSemiMixedTypes="0" containsNonDate="0" containsDate="1" containsString="0" minDate="2026-03-01T00:00:00" maxDate="2026-03-10T00:00:00" count="6">
        <d v="2026-03-01T00:00:00"/>
        <d v="2026-03-02T00:00:00"/>
        <d v="2026-03-04T00:00:00"/>
        <d v="2026-03-05T00:00:00"/>
        <d v="2026-03-07T00:00:00"/>
        <d v="2026-03-09T00:00:00"/>
      </sharedItems>
    </cacheField>
    <cacheField name="[Measures].[Total profit]" caption="Total profit" numFmtId="0" hierarchy="46" level="32767"/>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2"/>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0"/>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oneField="1">
      <fieldsUsage count="1">
        <fieldUsage x="1"/>
      </fieldsUsage>
    </cacheHierarchy>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12962961" createdVersion="5" refreshedVersion="7" minRefreshableVersion="3" recordCount="0" supportSubquery="1" supportAdvancedDrill="1" xr:uid="{E0CC3BEF-4BD6-4D31-B98F-8BB4DB218BD3}">
  <cacheSource type="external" connectionId="1"/>
  <cacheFields count="4">
    <cacheField name="[Measures].[Total profit]" caption="Total profit" numFmtId="0" hierarchy="46" level="32767"/>
    <cacheField name="[Product-table].[Product Name].[Product Name]" caption="Product Name" numFmtId="0" hierarchy="11" level="1">
      <sharedItems count="5">
        <s v="Joy"/>
        <s v="No.06"/>
        <s v="Patrol"/>
        <s v="vanilla"/>
        <s v="Voyage"/>
      </sharedItems>
    </cacheField>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2" memberValueDatatype="130" unbalanced="0">
      <fieldsUsage count="2">
        <fieldUsage x="-1"/>
        <fieldUsage x="1"/>
      </fieldsUsage>
    </cacheHierarchy>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2"/>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oneField="1">
      <fieldsUsage count="1">
        <fieldUsage x="0"/>
      </fieldsUsage>
    </cacheHierarchy>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17939818" createdVersion="5" refreshedVersion="7" minRefreshableVersion="3" recordCount="0" supportSubquery="1" supportAdvancedDrill="1" xr:uid="{8176B90A-DDC1-4EAA-B80C-80E16D26A8E6}">
  <cacheSource type="external" connectionId="1"/>
  <cacheFields count="4">
    <cacheField name="[Product-table].[Product Name].[Product Name]" caption="Product Name" numFmtId="0" hierarchy="11" level="1">
      <sharedItems count="8">
        <s v="citrus"/>
        <s v="Dynamo"/>
        <s v="Joy"/>
        <s v="No.06"/>
        <s v="No.359"/>
        <s v="Patrol"/>
        <s v="vanilla"/>
        <s v="Voyage"/>
      </sharedItems>
    </cacheField>
    <cacheField name="[Measures].[Sum of Qty]" caption="Sum of Qty" numFmtId="0" hierarchy="57"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2" memberValueDatatype="130" unbalanced="0">
      <fieldsUsage count="2">
        <fieldUsage x="-1"/>
        <fieldUsage x="0"/>
      </fieldsUsage>
    </cacheHierarchy>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2"/>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oneField="1" hidden="1">
      <fieldsUsage count="1">
        <fieldUsage x="1"/>
      </fieldsUsage>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23148145" createdVersion="5" refreshedVersion="7" minRefreshableVersion="3" recordCount="0" supportSubquery="1" supportAdvancedDrill="1" xr:uid="{4E507E49-0D32-4BA2-B0A9-467AEECC4760}">
  <cacheSource type="external" connectionId="1"/>
  <cacheFields count="4">
    <cacheField name="[Sales-table].[Sales Channel].[Sales Channel]" caption="Sales Channel" numFmtId="0" hierarchy="39" level="1">
      <sharedItems count="5">
        <s v="Facebook"/>
        <s v="Instagram"/>
        <s v="Tik tok"/>
        <s v="Whatsapp"/>
        <s v="Offline" u="1"/>
      </sharedItems>
    </cacheField>
    <cacheField name="[Measures].[Total Revenue]" caption="Total Revenue" numFmtId="0" hierarchy="44"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2"/>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2" memberValueDatatype="130" unbalanced="0">
      <fieldsUsage count="2">
        <fieldUsage x="-1"/>
        <fieldUsage x="0"/>
      </fieldsUsage>
    </cacheHierarchy>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oneField="1">
      <fieldsUsage count="1">
        <fieldUsage x="1"/>
      </fieldsUsage>
    </cacheHierarchy>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2824074" createdVersion="5" refreshedVersion="7" minRefreshableVersion="3" recordCount="0" supportSubquery="1" supportAdvancedDrill="1" xr:uid="{E5472491-7ED3-4A00-9CDA-4D0F0D3F3163}">
  <cacheSource type="external" connectionId="1"/>
  <cacheFields count="5">
    <cacheField name="[Inventory-table].[Product Name].[Product Name]" caption="Product Name" numFmtId="0" hierarchy="3" level="1">
      <sharedItems count="10">
        <s v="apple"/>
        <s v="Aura"/>
        <s v="Bare vanilla"/>
        <s v="citrus"/>
        <s v="Energy"/>
        <s v="love spell"/>
        <s v="maple"/>
        <s v="No.814"/>
        <s v="Sensitive"/>
        <s v="wish"/>
      </sharedItems>
    </cacheField>
    <cacheField name="[Inventory-table].[Stock Status].[Stock Status]" caption="Stock Status" numFmtId="0" hierarchy="9" level="1">
      <sharedItems count="3">
        <s v="In Stock"/>
        <s v="Low Stock"/>
        <s v="Out of Stock"/>
      </sharedItems>
    </cacheField>
    <cacheField name="[Measures].[Count of Product ID]" caption="Count of Product ID" numFmtId="0" hierarchy="59"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2" memberValueDatatype="130" unbalanced="0">
      <fieldsUsage count="2">
        <fieldUsage x="-1"/>
        <fieldUsage x="0"/>
      </fieldsUsage>
    </cacheHierarchy>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2" memberValueDatatype="130" unbalanced="0">
      <fieldsUsage count="2">
        <fieldUsage x="-1"/>
        <fieldUsage x="1"/>
      </fieldsUsage>
    </cacheHierarchy>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4"/>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3"/>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105.506433333336" createdVersion="5" refreshedVersion="7" minRefreshableVersion="3" recordCount="0" supportSubquery="1" supportAdvancedDrill="1" xr:uid="{CECBEDBD-6E46-4389-A4A7-20F465E9A6D0}">
  <cacheSource type="external" connectionId="1"/>
  <cacheFields count="4">
    <cacheField name="[Product-table].[Product Name].[Product Name]" caption="Product Name" numFmtId="0" hierarchy="11" level="1">
      <sharedItems count="5">
        <s v="Joy"/>
        <s v="No.06"/>
        <s v="Patrol"/>
        <s v="vanilla"/>
        <s v="Voyage"/>
      </sharedItems>
    </cacheField>
    <cacheField name="[Measures].[Sum of Qty]" caption="Sum of Qty" numFmtId="0" hierarchy="57" level="32767"/>
    <cacheField name="[Sales-table].[Date].[Date]" caption="Date" numFmtId="0" hierarchy="28" level="1">
      <sharedItems containsSemiMixedTypes="0" containsNonDate="0" containsString="0"/>
    </cacheField>
    <cacheField name="[Product-table].[Category].[Category]" caption="Category" numFmtId="0" hierarchy="13" level="1">
      <sharedItems containsSemiMixedTypes="0" containsNonDate="0" containsString="0"/>
    </cacheField>
  </cacheFields>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2" memberValueDatatype="130" unbalanced="0">
      <fieldsUsage count="2">
        <fieldUsage x="-1"/>
        <fieldUsage x="0"/>
      </fieldsUsage>
    </cacheHierarchy>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fieldsUsage count="2">
        <fieldUsage x="-1"/>
        <fieldUsage x="3"/>
      </fieldsUsage>
    </cacheHierarchy>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fieldsUsage count="2">
        <fieldUsage x="-1"/>
        <fieldUsage x="2"/>
      </fieldsUsage>
    </cacheHierarchy>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oneField="1" hidden="1">
      <fieldsUsage count="1">
        <fieldUsage x="1"/>
      </fieldsUsage>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dimensions count="5">
    <dimension name="Inventory-table" uniqueName="[Inventory-table]" caption="Inventory-table"/>
    <dimension measure="1" name="Measures" uniqueName="[Measures]" caption="Measures"/>
    <dimension name="Product-table" uniqueName="[Product-table]" caption="Product-table"/>
    <dimension name="Purchase-table" uniqueName="[Purchase-table]" caption="Purchase-table"/>
    <dimension name="Sales-table" uniqueName="[Sales-table]" caption="Sales-table"/>
  </dimensions>
  <measureGroups count="4">
    <measureGroup name="Inventory-table" caption="Inventory-table"/>
    <measureGroup name="Product-table" caption="Product-table"/>
    <measureGroup name="Purchase-table" caption="Purchase-table"/>
    <measureGroup name="Sales-table" caption="Sales-table"/>
  </measureGroups>
  <maps count="9">
    <map measureGroup="0" dimension="0"/>
    <map measureGroup="1" dimension="0"/>
    <map measureGroup="1" dimension="2"/>
    <map measureGroup="2" dimension="0"/>
    <map measureGroup="2" dimension="2"/>
    <map measureGroup="2" dimension="3"/>
    <map measureGroup="3" dimension="0"/>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091.158446643516" createdVersion="3" refreshedVersion="7" minRefreshableVersion="3" recordCount="0" supportSubquery="1" supportAdvancedDrill="1" xr:uid="{36D4F600-E158-4B8A-89DE-5F1B96FFFE49}">
  <cacheSource type="external" connectionId="1">
    <extLst>
      <ext xmlns:x14="http://schemas.microsoft.com/office/spreadsheetml/2009/9/main" uri="{F057638F-6D5F-4e77-A914-E7F072B9BCA8}">
        <x14:sourceConnection name="ThisWorkbookDataModel"/>
      </ext>
    </extLst>
  </cacheSource>
  <cacheFields count="0"/>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2" memberValueDatatype="130" unbalanced="0"/>
    <cacheHierarchy uniqueName="[Product-table].[Category]" caption="Category" attribute="1" defaultMemberUniqueName="[Product-table].[Category].[All]" allUniqueName="[Product-table].[Category].[All]" dimensionUniqueName="[Product-table]" displayFolder="" count="2" memberValueDatatype="130" unbalanced="0"/>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0" memberValueDatatype="7" unbalanced="0"/>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196089751"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091.158448148148" createdVersion="3" refreshedVersion="7" minRefreshableVersion="3" recordCount="0" supportSubquery="1" supportAdvancedDrill="1" xr:uid="{6BA90D53-7B45-401B-9F4B-EA1915317241}">
  <cacheSource type="external" connectionId="1">
    <extLst>
      <ext xmlns:x14="http://schemas.microsoft.com/office/spreadsheetml/2009/9/main" uri="{F057638F-6D5F-4e77-A914-E7F072B9BCA8}">
        <x14:sourceConnection name="ThisWorkbookDataModel"/>
      </ext>
    </extLst>
  </cacheSource>
  <cacheFields count="0"/>
  <cacheHierarchies count="61">
    <cacheHierarchy uniqueName="[Inventory-table].[Product ID]" caption="Product ID" attribute="1" defaultMemberUniqueName="[Inventory-table].[Product ID].[All]" allUniqueName="[Inventory-table].[Product ID].[All]" dimensionUniqueName="[Inventory-table]" displayFolder="" count="0" memberValueDatatype="130" unbalanced="0"/>
    <cacheHierarchy uniqueName="[Inventory-table].[Category]" caption="Category" attribute="1" defaultMemberUniqueName="[Inventory-table].[Category].[All]" allUniqueName="[Inventory-table].[Category].[All]" dimensionUniqueName="[Inventory-table]" displayFolder="" count="0" memberValueDatatype="130" unbalanced="0"/>
    <cacheHierarchy uniqueName="[Inventory-table].[Brand]" caption="Brand" attribute="1" defaultMemberUniqueName="[Inventory-table].[Brand].[All]" allUniqueName="[Inventory-table].[Brand].[All]" dimensionUniqueName="[Inventory-table]" displayFolder="" count="0" memberValueDatatype="130" unbalanced="0"/>
    <cacheHierarchy uniqueName="[Inventory-table].[Product Name]" caption="Product Name" attribute="1" defaultMemberUniqueName="[Inventory-table].[Product Name].[All]" allUniqueName="[Inventory-table].[Product Name].[All]" dimensionUniqueName="[Inventory-table]" displayFolder="" count="0" memberValueDatatype="130" unbalanced="0"/>
    <cacheHierarchy uniqueName="[Inventory-table].[Size]" caption="Size" attribute="1" defaultMemberUniqueName="[Inventory-table].[Size].[All]" allUniqueName="[Inventory-table].[Size].[All]" dimensionUniqueName="[Inventory-table]" displayFolder="" count="0" memberValueDatatype="130" unbalanced="0"/>
    <cacheHierarchy uniqueName="[Inventory-table].[Cost Price]" caption="Cost Price" attribute="1" defaultMemberUniqueName="[Inventory-table].[Cost Price].[All]" allUniqueName="[Inventory-table].[Cost Price].[All]" dimensionUniqueName="[Inventory-table]" displayFolder="" count="0" memberValueDatatype="20" unbalanced="0"/>
    <cacheHierarchy uniqueName="[Inventory-table].[Total Purchased]" caption="Total Purchased" attribute="1" defaultMemberUniqueName="[Inventory-table].[Total Purchased].[All]" allUniqueName="[Inventory-table].[Total Purchased].[All]" dimensionUniqueName="[Inventory-table]" displayFolder="" count="0" memberValueDatatype="20" unbalanced="0"/>
    <cacheHierarchy uniqueName="[Inventory-table].[Total Sold]" caption="Total Sold" attribute="1" defaultMemberUniqueName="[Inventory-table].[Total Sold].[All]" allUniqueName="[Inventory-table].[Total Sold].[All]" dimensionUniqueName="[Inventory-table]" displayFolder="" count="0" memberValueDatatype="20" unbalanced="0"/>
    <cacheHierarchy uniqueName="[Inventory-table].[Current Stock]" caption="Current Stock" attribute="1" defaultMemberUniqueName="[Inventory-table].[Current Stock].[All]" allUniqueName="[Inventory-table].[Current Stock].[All]" dimensionUniqueName="[Inventory-table]" displayFolder="" count="0" memberValueDatatype="20" unbalanced="0"/>
    <cacheHierarchy uniqueName="[Inventory-table].[Stock Status]" caption="Stock Status" attribute="1" defaultMemberUniqueName="[Inventory-table].[Stock Status].[All]" allUniqueName="[Inventory-table].[Stock Status].[All]" dimensionUniqueName="[Inventory-table]" displayFolder="" count="0" memberValueDatatype="130" unbalanced="0"/>
    <cacheHierarchy uniqueName="[Product-table].[Product ID]" caption="Product ID" attribute="1" defaultMemberUniqueName="[Product-table].[Product ID].[All]" allUniqueName="[Product-table].[Product ID].[All]" dimensionUniqueName="[Product-table]" displayFolder="" count="0" memberValueDatatype="130" unbalanced="0"/>
    <cacheHierarchy uniqueName="[Product-table].[Product Name]" caption="Product Name" attribute="1" defaultMemberUniqueName="[Product-table].[Product Name].[All]" allUniqueName="[Product-table].[Product Name].[All]" dimensionUniqueName="[Product-table]" displayFolder="" count="0" memberValueDatatype="130" unbalanced="0"/>
    <cacheHierarchy uniqueName="[Product-table].[Brand]" caption="Brand" attribute="1" defaultMemberUniqueName="[Product-table].[Brand].[All]" allUniqueName="[Product-table].[Brand].[All]" dimensionUniqueName="[Product-table]" displayFolder="" count="0" memberValueDatatype="130" unbalanced="0"/>
    <cacheHierarchy uniqueName="[Product-table].[Category]" caption="Category" attribute="1" defaultMemberUniqueName="[Product-table].[Category].[All]" allUniqueName="[Product-table].[Category].[All]" dimensionUniqueName="[Product-table]" displayFolder="" count="0" memberValueDatatype="130" unbalanced="0"/>
    <cacheHierarchy uniqueName="[Product-table].[Size_ml]" caption="Size_ml" attribute="1" defaultMemberUniqueName="[Product-table].[Size_ml].[All]" allUniqueName="[Product-table].[Size_ml].[All]" dimensionUniqueName="[Product-table]" displayFolder="" count="0" memberValueDatatype="130" unbalanced="0"/>
    <cacheHierarchy uniqueName="[Product-table].[Costprice]" caption="Costprice" attribute="1" defaultMemberUniqueName="[Product-table].[Costprice].[All]" allUniqueName="[Product-table].[Costprice].[All]" dimensionUniqueName="[Product-table]" displayFolder="" count="0" memberValueDatatype="20" unbalanced="0"/>
    <cacheHierarchy uniqueName="[Product-table].[Selling Price]" caption="Selling Price" attribute="1" defaultMemberUniqueName="[Product-table].[Selling Price].[All]" allUniqueName="[Product-table].[Selling Price].[All]" dimensionUniqueName="[Product-table]" displayFolder="" count="0" memberValueDatatype="20" unbalanced="0"/>
    <cacheHierarchy uniqueName="[Purchase-table].[Date]" caption="Date" attribute="1" time="1" defaultMemberUniqueName="[Purchase-table].[Date].[All]" allUniqueName="[Purchase-table].[Date].[All]" dimensionUniqueName="[Purchase-table]" displayFolder="" count="0" memberValueDatatype="7" unbalanced="0"/>
    <cacheHierarchy uniqueName="[Purchase-table].[Category]" caption="Category" attribute="1" defaultMemberUniqueName="[Purchase-table].[Category].[All]" allUniqueName="[Purchase-table].[Category].[All]" dimensionUniqueName="[Purchase-table]" displayFolder="" count="0" memberValueDatatype="130" unbalanced="0"/>
    <cacheHierarchy uniqueName="[Purchase-table].[Brand]" caption="Brand" attribute="1" defaultMemberUniqueName="[Purchase-table].[Brand].[All]" allUniqueName="[Purchase-table].[Brand].[All]" dimensionUniqueName="[Purchase-table]" displayFolder="" count="0" memberValueDatatype="130" unbalanced="0"/>
    <cacheHierarchy uniqueName="[Purchase-table].[Product Name]" caption="Product Name" attribute="1" defaultMemberUniqueName="[Purchase-table].[Product Name].[All]" allUniqueName="[Purchase-table].[Product Name].[All]" dimensionUniqueName="[Purchase-table]" displayFolder="" count="0" memberValueDatatype="130" unbalanced="0"/>
    <cacheHierarchy uniqueName="[Purchase-table].[Size]" caption="Size" attribute="1" defaultMemberUniqueName="[Purchase-table].[Size].[All]" allUniqueName="[Purchase-table].[Size].[All]" dimensionUniqueName="[Purchase-table]" displayFolder="" count="0" memberValueDatatype="130" unbalanced="0"/>
    <cacheHierarchy uniqueName="[Purchase-table].[Product ID]" caption="Product ID" attribute="1" defaultMemberUniqueName="[Purchase-table].[Product ID].[All]" allUniqueName="[Purchase-table].[Product ID].[All]" dimensionUniqueName="[Purchase-table]" displayFolder="" count="0" memberValueDatatype="130" unbalanced="0"/>
    <cacheHierarchy uniqueName="[Purchase-table].[Vendor Name]" caption="Vendor Name" attribute="1" defaultMemberUniqueName="[Purchase-table].[Vendor Name].[All]" allUniqueName="[Purchase-table].[Vendor Name].[All]" dimensionUniqueName="[Purchase-table]" displayFolder="" count="0" memberValueDatatype="130" unbalanced="0"/>
    <cacheHierarchy uniqueName="[Purchase-table].[Qty]" caption="Qty" attribute="1" defaultMemberUniqueName="[Purchase-table].[Qty].[All]" allUniqueName="[Purchase-table].[Qty].[All]" dimensionUniqueName="[Purchase-table]" displayFolder="" count="0" memberValueDatatype="20" unbalanced="0"/>
    <cacheHierarchy uniqueName="[Purchase-table].[Unit cost]" caption="Unit cost" attribute="1" defaultMemberUniqueName="[Purchase-table].[Unit cost].[All]" allUniqueName="[Purchase-table].[Unit cost].[All]" dimensionUniqueName="[Purchase-table]" displayFolder="" count="0" memberValueDatatype="20" unbalanced="0"/>
    <cacheHierarchy uniqueName="[Purchase-table].[Total Cost]" caption="Total Cost" attribute="1" defaultMemberUniqueName="[Purchase-table].[Total Cost].[All]" allUniqueName="[Purchase-table].[Total Cost].[All]" dimensionUniqueName="[Purchase-table]" displayFolder="" count="0" memberValueDatatype="20" unbalanced="0"/>
    <cacheHierarchy uniqueName="[Purchase-table].[Entry Time]" caption="Entry Time" attribute="1" time="1" defaultMemberUniqueName="[Purchase-table].[Entry Time].[All]" allUniqueName="[Purchase-table].[Entry Time].[All]" dimensionUniqueName="[Purchase-table]" displayFolder="" count="0" memberValueDatatype="7" unbalanced="0"/>
    <cacheHierarchy uniqueName="[Sales-table].[Date]" caption="Date" attribute="1" time="1" defaultMemberUniqueName="[Sales-table].[Date].[All]" allUniqueName="[Sales-table].[Date].[All]" dimensionUniqueName="[Sales-table]" displayFolder="" count="2" memberValueDatatype="7" unbalanced="0"/>
    <cacheHierarchy uniqueName="[Sales-table].[Category]" caption="Category" attribute="1" defaultMemberUniqueName="[Sales-table].[Category].[All]" allUniqueName="[Sales-table].[Category].[All]" dimensionUniqueName="[Sales-table]" displayFolder="" count="0" memberValueDatatype="130" unbalanced="0"/>
    <cacheHierarchy uniqueName="[Sales-table].[Brand]" caption="Brand" attribute="1" defaultMemberUniqueName="[Sales-table].[Brand].[All]" allUniqueName="[Sales-table].[Brand].[All]" dimensionUniqueName="[Sales-table]" displayFolder="" count="0" memberValueDatatype="130" unbalanced="0"/>
    <cacheHierarchy uniqueName="[Sales-table].[Product Name]" caption="Product Name" attribute="1" defaultMemberUniqueName="[Sales-table].[Product Name].[All]" allUniqueName="[Sales-table].[Product Name].[All]" dimensionUniqueName="[Sales-table]" displayFolder="" count="0" memberValueDatatype="130" unbalanced="0"/>
    <cacheHierarchy uniqueName="[Sales-table].[Size]" caption="Size" attribute="1" defaultMemberUniqueName="[Sales-table].[Size].[All]" allUniqueName="[Sales-table].[Size].[All]" dimensionUniqueName="[Sales-table]" displayFolder="" count="0" memberValueDatatype="130" unbalanced="0"/>
    <cacheHierarchy uniqueName="[Sales-table].[Product ID]" caption="Product ID" attribute="1" defaultMemberUniqueName="[Sales-table].[Product ID].[All]" allUniqueName="[Sales-table].[Product ID].[All]" dimensionUniqueName="[Sales-table]" displayFolder="" count="0" memberValueDatatype="130" unbalanced="0"/>
    <cacheHierarchy uniqueName="[Sales-table].[Cust_Name]" caption="Cust_Name" attribute="1" defaultMemberUniqueName="[Sales-table].[Cust_Name].[All]" allUniqueName="[Sales-table].[Cust_Name].[All]" dimensionUniqueName="[Sales-table]" displayFolder="" count="0" memberValueDatatype="130" unbalanced="0"/>
    <cacheHierarchy uniqueName="[Sales-table].[Qty]" caption="Qty" attribute="1" defaultMemberUniqueName="[Sales-table].[Qty].[All]" allUniqueName="[Sales-table].[Qty].[All]" dimensionUniqueName="[Sales-table]" displayFolder="" count="0" memberValueDatatype="20" unbalanced="0"/>
    <cacheHierarchy uniqueName="[Sales-table].[Unit Price]" caption="Unit Price" attribute="1" defaultMemberUniqueName="[Sales-table].[Unit Price].[All]" allUniqueName="[Sales-table].[Unit Price].[All]" dimensionUniqueName="[Sales-table]" displayFolder="" count="0" memberValueDatatype="20" unbalanced="0"/>
    <cacheHierarchy uniqueName="[Sales-table].[Total Amount]" caption="Total Amount" attribute="1" defaultMemberUniqueName="[Sales-table].[Total Amount].[All]" allUniqueName="[Sales-table].[Total Amount].[All]" dimensionUniqueName="[Sales-table]" displayFolder="" count="0" memberValueDatatype="20" unbalanced="0"/>
    <cacheHierarchy uniqueName="[Sales-table].[Sales ID]" caption="Sales ID" attribute="1" defaultMemberUniqueName="[Sales-table].[Sales ID].[All]" allUniqueName="[Sales-table].[Sales ID].[All]" dimensionUniqueName="[Sales-table]" displayFolder="" count="0" memberValueDatatype="20" unbalanced="0"/>
    <cacheHierarchy uniqueName="[Sales-table].[Sales Channel]" caption="Sales Channel" attribute="1" defaultMemberUniqueName="[Sales-table].[Sales Channel].[All]" allUniqueName="[Sales-table].[Sales Channel].[All]" dimensionUniqueName="[Sales-table]" displayFolder="" count="0" memberValueDatatype="130" unbalanced="0"/>
    <cacheHierarchy uniqueName="[Sales-table].[Entry time]" caption="Entry time" attribute="1" time="1" defaultMemberUniqueName="[Sales-table].[Entry time].[All]" allUniqueName="[Sales-table].[Entry time].[All]" dimensionUniqueName="[Sales-table]" displayFolder="" count="0" memberValueDatatype="7" unbalanced="0"/>
    <cacheHierarchy uniqueName="[Sales-table].[Date (Year)]" caption="Date (Year)" attribute="1" defaultMemberUniqueName="[Sales-table].[Date (Year)].[All]" allUniqueName="[Sales-table].[Date (Year)].[All]" dimensionUniqueName="[Sales-table]" displayFolder="" count="0" memberValueDatatype="130" unbalanced="0"/>
    <cacheHierarchy uniqueName="[Sales-table].[Date (Month)]" caption="Date (Month)" attribute="1" defaultMemberUniqueName="[Sales-table].[Date (Month)].[All]" allUniqueName="[Sales-table].[Date (Month)].[All]" dimensionUniqueName="[Sales-table]" displayFolder="" count="0" memberValueDatatype="130" unbalanced="0"/>
    <cacheHierarchy uniqueName="[Sales-table].[Date (Month Index)]" caption="Date (Month Index)" attribute="1" defaultMemberUniqueName="[Sales-table].[Date (Month Index)].[All]" allUniqueName="[Sales-table].[Date (Month Index)].[All]" dimensionUniqueName="[Sales-table]" displayFolder="" count="0" memberValueDatatype="20" unbalanced="0" hidden="1"/>
    <cacheHierarchy uniqueName="[Measures].[Total Revenue]" caption="Total Revenue" measure="1" displayFolder="" measureGroup="Sales-table" count="0"/>
    <cacheHierarchy uniqueName="[Measures].[Cogs]" caption="Cogs" measure="1" displayFolder="" measureGroup="Sales-table" count="0"/>
    <cacheHierarchy uniqueName="[Measures].[Total profit]" caption="Total profit" measure="1" displayFolder="" measureGroup="Sales-table" count="0"/>
    <cacheHierarchy uniqueName="[Measures].[profit margin]" caption="profit margin" measure="1" displayFolder="" measureGroup="Sales-table" count="0"/>
    <cacheHierarchy uniqueName="[Measures].[Current stock qty]" caption="Current stock qty" measure="1" displayFolder="" measureGroup="Inventory-table" count="0"/>
    <cacheHierarchy uniqueName="[Measures].[Inventory value]" caption="Inventory value" measure="1" displayFolder="" measureGroup="Inventory-table" count="0"/>
    <cacheHierarchy uniqueName="[Measures].[Stock risk count]" caption="Stock risk count" measure="1" displayFolder="" measureGroup="Inventory-table" count="0"/>
    <cacheHierarchy uniqueName="[Measures].[Total Orders]" caption="Total Orders" measure="1" displayFolder="" measureGroup="Sales-table" count="0"/>
    <cacheHierarchy uniqueName="[Measures].[__XL_Count Table1]" caption="__XL_Count Table1" measure="1" displayFolder="" measureGroup="Product-table" count="0" hidden="1"/>
    <cacheHierarchy uniqueName="[Measures].[__XL_Count Table3]" caption="__XL_Count Table3" measure="1" displayFolder="" measureGroup="Purchase-table" count="0" hidden="1"/>
    <cacheHierarchy uniqueName="[Measures].[__XL_Count Table4]" caption="__XL_Count Table4" measure="1" displayFolder="" measureGroup="Sales-table" count="0" hidden="1"/>
    <cacheHierarchy uniqueName="[Measures].[__XL_Count Table2]" caption="__XL_Count Table2" measure="1" displayFolder="" measureGroup="Inventory-table" count="0" hidden="1"/>
    <cacheHierarchy uniqueName="[Measures].[__No measures defined]" caption="__No measures defined" measure="1" displayFolder="" count="0" hidden="1"/>
    <cacheHierarchy uniqueName="[Measures].[Sum of Qty]" caption="Sum of Qty" measure="1" displayFolder="" measureGroup="Sales-table" count="0" hidden="1">
      <extLst>
        <ext xmlns:x15="http://schemas.microsoft.com/office/spreadsheetml/2010/11/main" uri="{B97F6D7D-B522-45F9-BDA1-12C45D357490}">
          <x15:cacheHierarchy aggregatedColumn="35"/>
        </ext>
      </extLst>
    </cacheHierarchy>
    <cacheHierarchy uniqueName="[Measures].[Count of Stock Status]" caption="Count of Stock Status" measure="1" displayFolder="" measureGroup="Inventory-table" count="0" hidden="1">
      <extLst>
        <ext xmlns:x15="http://schemas.microsoft.com/office/spreadsheetml/2010/11/main" uri="{B97F6D7D-B522-45F9-BDA1-12C45D357490}">
          <x15:cacheHierarchy aggregatedColumn="9"/>
        </ext>
      </extLst>
    </cacheHierarchy>
    <cacheHierarchy uniqueName="[Measures].[Count of Product ID]" caption="Count of Product ID" measure="1" displayFolder="" measureGroup="Inventory-table" count="0" hidden="1">
      <extLst>
        <ext xmlns:x15="http://schemas.microsoft.com/office/spreadsheetml/2010/11/main" uri="{B97F6D7D-B522-45F9-BDA1-12C45D357490}">
          <x15:cacheHierarchy aggregatedColumn="0"/>
        </ext>
      </extLst>
    </cacheHierarchy>
    <cacheHierarchy uniqueName="[Measures].[Sum of Current Stock]" caption="Sum of Current Stock" measure="1" displayFolder="" measureGroup="Inventory-tabl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pivotCacheId="9448627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633660-B8BB-41FC-B540-73565E1606EE}" name="PivotTable20" cacheId="38" applyNumberFormats="0" applyBorderFormats="0" applyFontFormats="0" applyPatternFormats="0" applyAlignmentFormats="0" applyWidthHeightFormats="1" dataCaption="Values" tag="db2c340a-2a68-400d-adbc-16328af81328" updatedVersion="7" minRefreshableVersion="5" useAutoFormatting="1" subtotalHiddenItems="1" itemPrintTitles="1" createdVersion="5" indent="0" outline="1" outlineData="1" multipleFieldFilters="0">
  <location ref="A17:A1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Inventor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FEC443-1C2C-4426-B980-0C79EE070053}" name="PivotTable15" cacheId="23" applyNumberFormats="0" applyBorderFormats="0" applyFontFormats="0" applyPatternFormats="0" applyAlignmentFormats="0" applyWidthHeightFormats="1" dataCaption="Values" tag="217926fa-17ac-462a-a8ba-677477883d64" updatedVersion="7" minRefreshableVersion="5" useAutoFormatting="1" subtotalHiddenItems="1" itemPrintTitles="1" createdVersion="5" indent="0" outline="1" outlineData="1" multipleFieldFilters="0">
  <location ref="A2:A3"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6"/>
  </dataFields>
  <formats count="1">
    <format dxfId="8">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A09D3C-CCBA-4C89-A4E0-DCACABF00C51}" name="PivotTable17" cacheId="29" applyNumberFormats="0" applyBorderFormats="0" applyFontFormats="0" applyPatternFormats="0" applyAlignmentFormats="0" applyWidthHeightFormats="1" dataCaption="Values" tag="90765d1d-7103-4a09-8b23-971979fa0970" updatedVersion="7" minRefreshableVersion="5" useAutoFormatting="1" subtotalHiddenItems="1"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7"/>
  </dataFields>
  <formats count="1">
    <format dxfId="9">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A6CF4FF-0DD6-4868-80CC-984E107B1506}" name="PivotTable18" cacheId="32" applyNumberFormats="0" applyBorderFormats="0" applyFontFormats="0" applyPatternFormats="0" applyAlignmentFormats="0" applyWidthHeightFormats="1" dataCaption="Values" tag="eaef8dac-9e93-4174-8567-92b644387591" updatedVersion="7" minRefreshableVersion="5" useAutoFormatting="1" subtotalHiddenItems="1" itemPrintTitles="1" createdVersion="5" indent="0" outline="1" outlineData="1" multipleFieldFilters="0">
  <location ref="A11:A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D5B92B-7259-4D4D-8D4F-3C928F7755F6}" name="PivotTable26" cacheId="56" applyNumberFormats="0" applyBorderFormats="0" applyFontFormats="0" applyPatternFormats="0" applyAlignmentFormats="0" applyWidthHeightFormats="1" dataCaption="Values" tag="7ee5bdd0-2bc8-4635-b217-85ebe036e2c1" updatedVersion="7" minRefreshableVersion="5" useAutoFormatting="1" subtotalHiddenItems="1" itemPrintTitles="1" createdVersion="5" indent="0" outline="1" outlineData="1" multipleFieldFilters="0" chartFormat="3">
  <location ref="M2:N11" firstHeaderRow="1" firstDataRow="1" firstDataCol="1"/>
  <pivotFields count="4">
    <pivotField axis="axisRow" allDrilled="1" subtotalTop="0" showAll="0" measureFilter="1"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4"/>
    </i>
    <i>
      <x v="1"/>
    </i>
    <i>
      <x v="7"/>
    </i>
    <i>
      <x v="5"/>
    </i>
    <i>
      <x v="6"/>
    </i>
    <i>
      <x v="2"/>
    </i>
    <i>
      <x v="3"/>
    </i>
    <i t="grand">
      <x/>
    </i>
  </rowItems>
  <colItems count="1">
    <i/>
  </colItems>
  <dataFields count="1">
    <dataField name="Sum of Qty" fld="1" baseField="0" baseItem="0"/>
  </dataFields>
  <chartFormats count="1">
    <chartFormat chart="2" format="3"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35"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 fld="0" type="count" id="4" iMeasureHier="57">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FE014E-B376-4A83-ACD1-585A4CF06580}" name="PivotTable19" cacheId="35" applyNumberFormats="0" applyBorderFormats="0" applyFontFormats="0" applyPatternFormats="0" applyAlignmentFormats="0" applyWidthHeightFormats="1" dataCaption="Values" tag="cd9dfe6f-25f5-4a9c-9aad-97c1773e81a7" updatedVersion="7" minRefreshableVersion="5" useAutoFormatting="1" subtotalHiddenItems="1" itemPrintTitles="1" createdVersion="5" indent="0" outline="1" outlineData="1" multipleFieldFilters="0">
  <location ref="A14:A1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6"/>
  </dataFields>
  <formats count="1">
    <format dxfId="10">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D9C09B-669D-4374-A174-9DD79B970B30}" name="PivotTable24" cacheId="50" applyNumberFormats="0" applyBorderFormats="0" applyFontFormats="0" applyPatternFormats="0" applyAlignmentFormats="0" applyWidthHeightFormats="1" dataCaption="Values" tag="c64d3752-41cb-4c2a-9e38-650cdf31c49d" updatedVersion="7" minRefreshableVersion="5" useAutoFormatting="1" subtotalHiddenItems="1" itemPrintTitles="1" createdVersion="5" indent="0" outline="1" outlineData="1" multipleFieldFilters="0">
  <location ref="G2:H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26B2E1-F3BF-414B-AE7A-4773473800A1}" name="PivotTable25" cacheId="53" applyNumberFormats="0" applyBorderFormats="0" applyFontFormats="0" applyPatternFormats="0" applyAlignmentFormats="0" applyWidthHeightFormats="1" dataCaption="Values" tag="5b5e8268-e3cb-4ded-83e6-db8792e2076b" updatedVersion="7" minRefreshableVersion="5" useAutoFormatting="1" subtotalHiddenItems="1" itemPrintTitles="1" createdVersion="5" indent="0" outline="1" outlineData="1" multipleFieldFilters="0" chartFormat="3">
  <location ref="J2:K8" firstHeaderRow="1" firstDataRow="1" firstDataCol="1"/>
  <pivotFields count="4">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1"/>
    </i>
    <i>
      <x/>
    </i>
    <i>
      <x v="3"/>
    </i>
    <i>
      <x v="2"/>
    </i>
    <i>
      <x v="4"/>
    </i>
    <i t="grand">
      <x/>
    </i>
  </rowItems>
  <colItems count="1">
    <i/>
  </colItems>
  <dataFields count="1">
    <dataField fld="0" subtotal="count" baseField="0" baseItem="0" numFmtId="166"/>
  </dataFields>
  <formats count="1">
    <format dxfId="1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32"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 fld="1" type="count" id="1" iMeasureHier="46">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F100BC6-DD30-490F-A95D-1A76165D0A5C}" name="PivotTable21" cacheId="41" applyNumberFormats="0" applyBorderFormats="0" applyFontFormats="0" applyPatternFormats="0" applyAlignmentFormats="0" applyWidthHeightFormats="1" dataCaption="Values" tag="454dad1a-f95f-421c-a3ba-0aa0028c6cfe" updatedVersion="7" minRefreshableVersion="5" useAutoFormatting="1" subtotalHiddenItems="1" itemPrintTitles="1" createdVersion="5" indent="0" outline="1" outlineData="1" multipleFieldFilters="0">
  <location ref="A20:A2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6"/>
  </dataFields>
  <formats count="1">
    <format dxfId="12">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Inventor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3ED29D7-B183-4D28-B5D8-216AEA75FCE1}" name="PivotTable27" cacheId="59" applyNumberFormats="0" applyBorderFormats="0" applyFontFormats="0" applyPatternFormats="0" applyAlignmentFormats="0" applyWidthHeightFormats="1" dataCaption="Values" tag="05361dca-122b-4811-944e-c8529ff48722" updatedVersion="7" minRefreshableVersion="5" useAutoFormatting="1" subtotalHiddenItems="1" itemPrintTitles="1" createdVersion="5" indent="0" outline="1" outlineData="1" multipleFieldFilters="0" chartFormat="3">
  <location ref="S2:T7"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numFmtId="166"/>
  </dataFields>
  <formats count="1">
    <format dxfId="13">
      <pivotArea outline="0" collapsedLevelsAreSubtotals="1" fieldPosition="0"/>
    </format>
  </formats>
  <chartFormats count="6">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0" count="1" selected="0">
            <x v="0"/>
          </reference>
        </references>
      </pivotArea>
    </chartFormat>
    <chartFormat chart="2" format="14">
      <pivotArea type="data" outline="0" fieldPosition="0">
        <references count="2">
          <reference field="4294967294" count="1" selected="0">
            <x v="0"/>
          </reference>
          <reference field="0" count="1" selected="0">
            <x v="1"/>
          </reference>
        </references>
      </pivotArea>
    </chartFormat>
    <chartFormat chart="2" format="15">
      <pivotArea type="data" outline="0" fieldPosition="0">
        <references count="2">
          <reference field="4294967294" count="1" selected="0">
            <x v="0"/>
          </reference>
          <reference field="0" count="1" selected="0">
            <x v="4"/>
          </reference>
        </references>
      </pivotArea>
    </chartFormat>
    <chartFormat chart="2" format="16">
      <pivotArea type="data" outline="0" fieldPosition="0">
        <references count="2">
          <reference field="4294967294" count="1" selected="0">
            <x v="0"/>
          </reference>
          <reference field="0" count="1" selected="0">
            <x v="2"/>
          </reference>
        </references>
      </pivotArea>
    </chartFormat>
    <chartFormat chart="2" format="17">
      <pivotArea type="data" outline="0" fieldPosition="0">
        <references count="2">
          <reference field="4294967294" count="1" selected="0">
            <x v="0"/>
          </reference>
          <reference field="0" count="1" selected="0">
            <x v="3"/>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577390A-92C2-4036-A9D9-CBF0FCDC810A}" name="PivotTable1" cacheId="65" applyNumberFormats="0" applyBorderFormats="0" applyFontFormats="0" applyPatternFormats="0" applyAlignmentFormats="0" applyWidthHeightFormats="1" dataCaption="Values" tag="7ee5bdd0-2bc8-4635-b217-85ebe036e2c1" updatedVersion="7" minRefreshableVersion="5" useAutoFormatting="1" subtotalHiddenItems="1" itemPrintTitles="1" createdVersion="5" indent="0" outline="1" outlineData="1" multipleFieldFilters="0" chartFormat="3">
  <location ref="P2:Q8" firstHeaderRow="1"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1"/>
    </i>
    <i>
      <x/>
    </i>
    <i>
      <x v="3"/>
    </i>
    <i>
      <x v="2"/>
    </i>
    <i>
      <x v="4"/>
    </i>
    <i t="grand">
      <x/>
    </i>
  </rowItems>
  <colItems count="1">
    <i/>
  </colItems>
  <dataFields count="1">
    <dataField name="Sum of Qty" fld="1"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32"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 fld="0" type="count" id="1" iMeasureHier="57">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4DA93B5-ADBD-4221-BCAF-05FF6F65B811}" name="PivotTable22" cacheId="44" applyNumberFormats="0" applyBorderFormats="0" applyFontFormats="0" applyPatternFormats="0" applyAlignmentFormats="0" applyWidthHeightFormats="1" dataCaption="Values" tag="2df984ad-3d19-4d5a-a4f7-5f4960549c4a" updatedVersion="7" minRefreshableVersion="5" useAutoFormatting="1" subtotalHiddenItems="1" itemPrintTitles="1" createdVersion="5" indent="0" outline="1" outlineData="1" multipleFieldFilters="0">
  <location ref="A23:A2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Inventor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9D82B3E-EF65-43C1-9D5A-7F447928D24F}" name="PivotTable16" cacheId="26" applyNumberFormats="0" applyBorderFormats="0" applyFontFormats="0" applyPatternFormats="0" applyAlignmentFormats="0" applyWidthHeightFormats="1" dataCaption="Values" tag="a79b6f17-9285-4213-ae1b-380aed4caaa9" updatedVersion="7" minRefreshableVersion="5" useAutoFormatting="1" subtotalHiddenItems="1" itemPrintTitles="1" createdVersion="5" indent="0" outline="1" outlineData="1" multipleFieldFilters="0">
  <location ref="A5:A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6"/>
  </dataFields>
  <formats count="1">
    <format dxfId="14">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11AB29A-FE93-4919-ADA3-51C2720A4CF9}" name="PivotTable23" cacheId="47" applyNumberFormats="0" applyBorderFormats="0" applyFontFormats="0" applyPatternFormats="0" applyAlignmentFormats="0" applyWidthHeightFormats="1" dataCaption="Values" tag="17558ea4-8e73-4d92-831e-2619a7514224" updatedVersion="7" minRefreshableVersion="5" useAutoFormatting="1" subtotalHiddenItems="1" itemPrintTitles="1" createdVersion="5" indent="0" outline="1" outlineData="1" multipleFieldFilters="0" chartFormat="4">
  <location ref="D2:E4"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xis="axisRow" allDrilled="1" subtotalTop="0" showAll="0" dataSourceSort="1" defaultSubtotal="0">
      <items count="1">
        <item x="0" e="0"/>
      </items>
    </pivotField>
    <pivotField allDrilled="1" subtotalTop="0" showAll="0" dataSourceSort="1" defaultSubtotal="0" defaultAttributeDrillState="1"/>
  </pivotFields>
  <rowFields count="2">
    <field x="2"/>
    <field x="0"/>
  </rowFields>
  <rowItems count="2">
    <i>
      <x/>
    </i>
    <i t="grand">
      <x/>
    </i>
  </rowItems>
  <colItems count="1">
    <i/>
  </colItems>
  <dataFields count="1">
    <dataField fld="1" subtotal="count" baseField="0" baseItem="0"/>
  </dataFields>
  <formats count="1">
    <format dxfId="15">
      <pivotArea collapsedLevelsAreSubtotals="1" fieldPosition="0">
        <references count="1">
          <reference field="2"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31"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s>
  <rowHierarchiesUsage count="2">
    <rowHierarchyUsage hierarchyUsage="42"/>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DFF69FB-FFF0-4611-856C-B545ED0A04CA}" name="PivotTable29" cacheId="62" applyNumberFormats="0" applyBorderFormats="0" applyFontFormats="0" applyPatternFormats="0" applyAlignmentFormats="0" applyWidthHeightFormats="1" dataCaption="Values" tag="b0e599ba-cc16-4a30-860c-4850b2fe4461" updatedVersion="7" minRefreshableVersion="5" useAutoFormatting="1" subtotalHiddenItems="1" itemPrintTitles="1" createdVersion="5" indent="0" outline="1" outlineData="1" multipleFieldFilters="0" chartFormat="4">
  <location ref="Y2:Z6" firstHeaderRow="1" firstDataRow="1" firstDataCol="1"/>
  <pivotFields count="5">
    <pivotField allDrilled="1" subtotalTop="0" showAll="0" measureFilter="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name="Count of Product ID" fld="2"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dateBetween" evalOrder="-1" id="32"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 fld="0" type="count" id="1" iMeasureHier="60">
      <autoFilter ref="A1">
        <filterColumn colId="0">
          <top10 val="10" filterVal="10"/>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activeTabTopLevelEntity name="[Inventory-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CFA3318-3360-4D17-988B-724257F2E198}" name="PivotTable28" cacheId="20" applyNumberFormats="0" applyBorderFormats="0" applyFontFormats="0" applyPatternFormats="0" applyAlignmentFormats="0" applyWidthHeightFormats="1" dataCaption="Values" tag="5dbbc0a6-9a7e-44d2-991b-799644670918" updatedVersion="7" minRefreshableVersion="5" useAutoFormatting="1" subtotalHiddenItems="1" itemPrintTitles="1" createdVersion="5" indent="0" outline="1" outlineData="1" multipleFieldFilters="0" chartFormat="3">
  <location ref="V2:W13" firstHeaderRow="1" firstDataRow="1" firstDataCol="1"/>
  <pivotFields count="4">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9"/>
    </i>
    <i>
      <x v="2"/>
    </i>
    <i>
      <x v="4"/>
    </i>
    <i>
      <x v="3"/>
    </i>
    <i>
      <x v="8"/>
    </i>
    <i>
      <x v="6"/>
    </i>
    <i>
      <x v="7"/>
    </i>
    <i>
      <x/>
    </i>
    <i>
      <x v="1"/>
    </i>
    <i>
      <x v="5"/>
    </i>
    <i t="grand">
      <x/>
    </i>
  </rowItems>
  <colItems count="1">
    <i/>
  </colItems>
  <dataFields count="1">
    <dataField name="Sum of Current Stock" fld="0"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Product-table].[Category].&amp;[Body Spra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dateBetween" evalOrder="-1" id="34" name="[Sales-table].[Date]">
      <autoFilter ref="A1">
        <filterColumn colId="0">
          <customFilters and="1">
            <customFilter operator="greaterThanOrEqual" val="46082"/>
            <customFilter operator="lessThanOrEqual" val="46091"/>
          </customFilters>
        </filterColumn>
      </autoFilter>
      <extLst>
        <ext xmlns:x15="http://schemas.microsoft.com/office/spreadsheetml/2010/11/main" uri="{0605FD5F-26C8-4aeb-8148-2DB25E43C511}">
          <x15:pivotFilter useWholeDay="1"/>
        </ext>
      </extLst>
    </filter>
    <filter fld="1" type="count" id="1" iMeasureHier="60">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table]"/>
        <x15:activeTabTopLevelEntity name="[Product-table]"/>
        <x15:activeTabTopLevelEntity name="[Inventory-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rgory" xr10:uid="{0C202C61-DDFC-4FDB-A900-402EF458D851}" sourceName="[Product-table].[Category]">
  <pivotTables>
    <pivotTable tabId="9" name="PivotTable28"/>
    <pivotTable tabId="9" name="PivotTable15"/>
    <pivotTable tabId="9" name="PivotTable16"/>
    <pivotTable tabId="9" name="PivotTable17"/>
    <pivotTable tabId="9" name="PivotTable18"/>
    <pivotTable tabId="9" name="PivotTable19"/>
    <pivotTable tabId="9" name="PivotTable20"/>
    <pivotTable tabId="9" name="PivotTable21"/>
    <pivotTable tabId="9" name="PivotTable22"/>
    <pivotTable tabId="9" name="PivotTable23"/>
    <pivotTable tabId="9" name="PivotTable24"/>
    <pivotTable tabId="9" name="PivotTable25"/>
    <pivotTable tabId="9" name="PivotTable26"/>
    <pivotTable tabId="9" name="PivotTable27"/>
    <pivotTable tabId="9" name="PivotTable29"/>
    <pivotTable tabId="9" name="PivotTable1"/>
  </pivotTables>
  <data>
    <olap pivotCacheId="1196089751">
      <levels count="2">
        <level uniqueName="[Product-table].[Category].[(All)]" sourceCaption="(All)" count="0"/>
        <level uniqueName="[Product-table].[Category].[Category]" sourceCaption="Category" count="6">
          <ranges>
            <range startItem="0">
              <i n="[Product-table].[Category].&amp;[Antiperspirant]" c="Antiperspirant"/>
              <i n="[Product-table].[Category].&amp;[Body mist]" c="Body mist"/>
              <i n="[Product-table].[Category].&amp;[Body Spray]" c="Body Spray"/>
              <i n="[Product-table].[Category].&amp;[Deodorant]" c="Deodorant"/>
              <i n="[Product-table].[Category].&amp;[oil perfume]" c="oil perfume"/>
              <i n="[Product-table].[Category].&amp;[Perfume]" c="Perfume"/>
            </range>
          </ranges>
        </level>
      </levels>
      <selections count="1">
        <selection n="[Product-table].[Category].&amp;[Body Spr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B119C48D-E29E-413F-847D-1570F617B6B4}" sourceName="[Product-table].[Brand]">
  <pivotTables>
    <pivotTable tabId="9" name="PivotTable28"/>
    <pivotTable tabId="9" name="PivotTable15"/>
    <pivotTable tabId="9" name="PivotTable16"/>
    <pivotTable tabId="9" name="PivotTable17"/>
    <pivotTable tabId="9" name="PivotTable18"/>
    <pivotTable tabId="9" name="PivotTable19"/>
    <pivotTable tabId="9" name="PivotTable20"/>
    <pivotTable tabId="9" name="PivotTable21"/>
    <pivotTable tabId="9" name="PivotTable22"/>
    <pivotTable tabId="9" name="PivotTable23"/>
    <pivotTable tabId="9" name="PivotTable24"/>
    <pivotTable tabId="9" name="PivotTable25"/>
    <pivotTable tabId="9" name="PivotTable26"/>
    <pivotTable tabId="9" name="PivotTable27"/>
    <pivotTable tabId="9" name="PivotTable29"/>
    <pivotTable tabId="9" name="PivotTable1"/>
  </pivotTables>
  <data>
    <olap pivotCacheId="1196089751">
      <levels count="2">
        <level uniqueName="[Product-table].[Brand].[(All)]" sourceCaption="(All)" count="0"/>
        <level uniqueName="[Product-table].[Brand].[Brand]" sourceCaption="Brand" count="13">
          <ranges>
            <range startItem="0">
              <i n="[Product-table].[Brand].&amp;[Confetti London]" c="Confetti London"/>
              <i n="[Product-table].[Brand].&amp;[Dear body]" c="Dear body"/>
              <i n="[Product-table].[Brand].&amp;[Riggs]" c="Riggs"/>
              <i n="[Product-table].[Brand].&amp;[Smart Collection]" c="Smart Collection"/>
              <i n="[Product-table].[Brand].&amp;[24k]" c="24k" nd="1"/>
              <i n="[Product-table].[Brand].&amp;[Be tres]" c="Be tres" nd="1"/>
              <i n="[Product-table].[Brand].&amp;[Cosmo]" c="Cosmo" nd="1"/>
              <i n="[Product-table].[Brand].&amp;[Dove]" c="Dove" nd="1"/>
              <i n="[Product-table].[Brand].&amp;[Fragrance Deluxe]" c="Fragrance Deluxe" nd="1"/>
              <i n="[Product-table].[Brand].&amp;[Nivea]" c="Nivea" nd="1"/>
              <i n="[Product-table].[Brand].&amp;[Pendora Scent]" c="Pendora Scent" nd="1"/>
              <i n="[Product-table].[Brand].&amp;[Touch]" c="Touch" nd="1"/>
              <i n="[Product-table].[Brand].&amp;[Victoria secret]" c="Victoria secret" nd="1"/>
            </range>
          </ranges>
        </level>
      </levels>
      <selections count="1">
        <selection n="[Product-table].[Bran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rgory" xr10:uid="{C442A9F7-E648-4E02-8687-BDFC4992D543}" cache="Slicer_Catergory" caption="Catergory" level="1" style="Slicer Style 1" rowHeight="241300"/>
  <slicer name="Brand" xr10:uid="{F519B96C-8F3C-403A-86A7-B266F024ABF9}" cache="Slicer_Brand" caption="Brand" level="1"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8128F9-1D5C-495C-B6ED-1E0FB4718D11}" name="Table1" displayName="Table1" ref="D4:J65" totalsRowShown="0" headerRowDxfId="68" dataDxfId="67">
  <autoFilter ref="D4:J65" xr:uid="{E98128F9-1D5C-495C-B6ED-1E0FB4718D11}"/>
  <tableColumns count="7">
    <tableColumn id="10" xr3:uid="{B71A26B9-0DFC-443A-91AD-D8CE687CC31D}" name="Product ID" dataDxfId="66"/>
    <tableColumn id="2" xr3:uid="{8DD6DFBD-AE5B-4231-853C-555B8684376F}" name="Product Name" dataDxfId="65"/>
    <tableColumn id="3" xr3:uid="{149CC921-E568-4987-BB58-CDD043C1FC89}" name="Brand" dataDxfId="64"/>
    <tableColumn id="4" xr3:uid="{DF62AD1D-FE0B-463B-9ABA-C2D3E4E060C2}" name="Category" dataDxfId="63"/>
    <tableColumn id="5" xr3:uid="{53DF4D3F-B94B-4AA1-98B3-AFB5249E0B2F}" name="Size_ml" dataDxfId="62"/>
    <tableColumn id="6" xr3:uid="{2617D3EC-B01F-47EC-B502-4DF2B1CE0BD9}" name="Costprice" dataDxfId="61"/>
    <tableColumn id="7" xr3:uid="{8F0885D0-253F-4CED-8652-1C4141FE28FE}" name="Selling Price" dataDxf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AA8AA24-1AFF-4DEB-A545-42B0467CC145}" name="Table3" displayName="Table3" ref="D4:N46" totalsRowShown="0" headerRowDxfId="59" dataDxfId="58">
  <autoFilter ref="D4:N46" xr:uid="{AAA8AA24-1AFF-4DEB-A545-42B0467CC145}"/>
  <tableColumns count="11">
    <tableColumn id="1" xr3:uid="{CB5D503E-D7D7-4001-85C1-69989CF154E5}" name="Date" dataDxfId="57"/>
    <tableColumn id="2" xr3:uid="{9E134C40-065A-4F23-843A-547664C26DEA}" name="Category" dataDxfId="56"/>
    <tableColumn id="3" xr3:uid="{27EC62E5-29A8-4E3F-B9A4-07E799F6E74C}" name="Brand" dataDxfId="55"/>
    <tableColumn id="4" xr3:uid="{4439E07F-01F3-44C5-9D54-191680B36AA3}" name="Product Name" dataDxfId="54"/>
    <tableColumn id="5" xr3:uid="{A6CB5525-53B0-4355-A2AD-D8AC6FEF2F19}" name="Size" dataDxfId="53"/>
    <tableColumn id="6" xr3:uid="{367789A1-BDB0-4F8D-BD40-E3AF44B8548A}" name="Product ID" dataDxfId="52"/>
    <tableColumn id="7" xr3:uid="{7A59469C-3B32-4251-B58A-2B41763DF1E9}" name="Vendor Name" dataDxfId="51"/>
    <tableColumn id="8" xr3:uid="{74452366-96C7-431B-8CAC-1013A888322E}" name="Qty" dataDxfId="50"/>
    <tableColumn id="9" xr3:uid="{971BDDC4-178C-493A-B2C8-04A504DC60A4}" name="Unit cost" dataDxfId="49"/>
    <tableColumn id="10" xr3:uid="{D2E497C1-5F8D-418A-BF86-A0C1DFD7BA99}" name="Total Cost" dataDxfId="48"/>
    <tableColumn id="11" xr3:uid="{4EDEBA2E-FD72-4502-98A0-40239D991455}" name="Entry Time" dataDxfId="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246D2B7-4D39-4AD5-8927-5E343F9C1850}" name="Table4" displayName="Table4" ref="D4:P35" totalsRowShown="0" headerRowDxfId="46" dataDxfId="45">
  <autoFilter ref="D4:P35" xr:uid="{4246D2B7-4D39-4AD5-8927-5E343F9C1850}"/>
  <sortState xmlns:xlrd2="http://schemas.microsoft.com/office/spreadsheetml/2017/richdata2" ref="D5:P35">
    <sortCondition descending="1" ref="P5:P35"/>
  </sortState>
  <tableColumns count="13">
    <tableColumn id="1" xr3:uid="{31E42D6F-FDFB-42F8-8D60-161F5175B8F6}" name="Date" dataDxfId="44"/>
    <tableColumn id="2" xr3:uid="{0DB4425C-4FD2-4AB3-80B6-181EA946088B}" name="Category" dataDxfId="43"/>
    <tableColumn id="3" xr3:uid="{0CCC268E-04EB-4285-8E60-E2CC14F40366}" name="Brand" dataDxfId="42"/>
    <tableColumn id="4" xr3:uid="{03979564-BF96-4BA8-B564-8718F7C401BD}" name="Product Name" dataDxfId="41"/>
    <tableColumn id="5" xr3:uid="{0486F0D0-29D7-40C6-ABD6-52FFDD2D918D}" name="Size" dataDxfId="40"/>
    <tableColumn id="6" xr3:uid="{6FAC4EB6-4CA5-43D1-A63C-57C4865F1D60}" name="Product ID" dataDxfId="39"/>
    <tableColumn id="7" xr3:uid="{8EB19123-B219-4AD3-90F7-B60F6CA7D7E3}" name="Cust_Name" dataDxfId="38"/>
    <tableColumn id="8" xr3:uid="{C4792306-0B9A-4A19-BE55-F2F59A3EF74F}" name="Qty" dataDxfId="37"/>
    <tableColumn id="9" xr3:uid="{816E3686-DA97-429C-B179-44F3438EC455}" name="Unit Price" dataDxfId="36"/>
    <tableColumn id="10" xr3:uid="{A5D4F414-6709-4D38-8C64-D1CCF322AD55}" name="Total Amount" dataDxfId="35"/>
    <tableColumn id="12" xr3:uid="{97AC507F-29CF-40B9-940C-A166BF83CCAB}" name="Sales ID" dataDxfId="34"/>
    <tableColumn id="11" xr3:uid="{7ABB21CE-B0D0-4562-BAA5-CA89D353983C}" name="Sales Channel" dataDxfId="33"/>
    <tableColumn id="13" xr3:uid="{451D5352-5197-43DD-9E5E-FE8090B3ABAC}" name="Entry time" dataDxfId="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A04624-C07A-4E55-948F-580C0A05EB46}" name="Table2" displayName="Table2" ref="D4:M65" totalsRowShown="0" headerRowDxfId="27" dataDxfId="26">
  <autoFilter ref="D4:M65" xr:uid="{0AA04624-C07A-4E55-948F-580C0A05EB46}"/>
  <tableColumns count="10">
    <tableColumn id="14" xr3:uid="{9DE57538-2323-49A7-B43E-D860B374A597}" name="Product ID" dataDxfId="25"/>
    <tableColumn id="2" xr3:uid="{0C7CD543-A056-4D71-A752-DB516452F1F2}" name="Category" dataDxfId="24">
      <calculatedColumnFormula>_xlfn.XLOOKUP(Table2[[#This Row],[Product ID]],Table1[Product ID],Table1[Category])</calculatedColumnFormula>
    </tableColumn>
    <tableColumn id="3" xr3:uid="{E8068E93-7CD2-4ADA-9D07-DEBDEBDBD8A8}" name="Brand" dataDxfId="23">
      <calculatedColumnFormula>_xlfn.XLOOKUP(Table2[[#This Row],[Product ID]],Table1[Product ID],Table1[Brand])</calculatedColumnFormula>
    </tableColumn>
    <tableColumn id="4" xr3:uid="{61658A23-8677-4610-92B6-022A1F04B4D3}" name="Product Name" dataDxfId="22">
      <calculatedColumnFormula>_xlfn.XLOOKUP(Table2[[#This Row],[Product ID]],Table1[Product ID],Table1[Product Name])</calculatedColumnFormula>
    </tableColumn>
    <tableColumn id="5" xr3:uid="{50861B58-3EEE-4D9A-8E4C-F702C6A5AF0D}" name="Size" dataDxfId="21">
      <calculatedColumnFormula>_xlfn.XLOOKUP(Table2[[#This Row],[Product ID]],Table1[Product ID],Table1[Size_ml])</calculatedColumnFormula>
    </tableColumn>
    <tableColumn id="1" xr3:uid="{081B0048-8066-48BA-AD0B-6C269B0DF236}" name="Cost Price" dataDxfId="20">
      <calculatedColumnFormula>_xlfn.XLOOKUP(Table2[[#This Row],[Product ID]],Table1[Product ID],Table1[Costprice])</calculatedColumnFormula>
    </tableColumn>
    <tableColumn id="6" xr3:uid="{231D9C82-92DB-4221-8D68-A00059375F02}" name="Total Purchased" dataDxfId="19">
      <calculatedColumnFormula>SUMIFS(Table3[Qty],Table3[Product ID],Table2[[#This Row],[Product ID]])</calculatedColumnFormula>
    </tableColumn>
    <tableColumn id="7" xr3:uid="{FB9F2472-FE4F-49C5-9AE8-294AC223D803}" name="Total Sold" dataDxfId="18">
      <calculatedColumnFormula>SUMIFS(Table4[Qty],Table4[Product ID],Table2[[#This Row],[Product ID]])</calculatedColumnFormula>
    </tableColumn>
    <tableColumn id="8" xr3:uid="{CF96CDA1-F964-4C05-8ED1-ADB5021D8F19}" name="Current Stock" dataDxfId="17">
      <calculatedColumnFormula>Table2[[#This Row],[Total Purchased]]-Table2[[#This Row],[Total Sold]]</calculatedColumnFormula>
    </tableColumn>
    <tableColumn id="10" xr3:uid="{E8B70B9A-5E09-45AA-B017-DD7265ED909E}" name="Stock Status" dataDxfId="16">
      <calculatedColumnFormula>IF(Table2[[#This Row],[Current Stock]]=0,"Out of Stock",IF(Table2[[#This Row],[Current Stock]]&lt;=5,"Low Stock","In Stock"))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BCE2823A-3426-4547-9CCD-4D42E7A9BE7E}" sourceName="[Sales-table].[Date]">
  <pivotTables>
    <pivotTable tabId="9" name="PivotTable28"/>
    <pivotTable tabId="9" name="PivotTable1"/>
    <pivotTable tabId="9" name="PivotTable15"/>
    <pivotTable tabId="9" name="PivotTable16"/>
    <pivotTable tabId="9" name="PivotTable17"/>
    <pivotTable tabId="9" name="PivotTable18"/>
    <pivotTable tabId="9" name="PivotTable19"/>
    <pivotTable tabId="9" name="PivotTable20"/>
    <pivotTable tabId="9" name="PivotTable21"/>
    <pivotTable tabId="9" name="PivotTable22"/>
    <pivotTable tabId="9" name="PivotTable23"/>
    <pivotTable tabId="9" name="PivotTable24"/>
    <pivotTable tabId="9" name="PivotTable25"/>
    <pivotTable tabId="9" name="PivotTable26"/>
    <pivotTable tabId="9" name="PivotTable27"/>
    <pivotTable tabId="9" name="PivotTable29"/>
  </pivotTables>
  <state minimalRefreshVersion="6" lastRefreshVersion="6" pivotCacheId="944862723" filterType="dateBetween">
    <selection startDate="2026-03-01T00:00:00" endDate="2026-03-10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FD668157-BB13-4C18-B126-2D622FDD385F}" cache="Timeline_Date" caption="Date" level="3" selectionLevel="3" scrollPosition="2026-03-01T00:00:00" style="Timeline Style 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02842-6755-4C75-B6B2-7D79D6E8BD53}">
  <sheetPr codeName="Sheet1"/>
  <dimension ref="A1"/>
  <sheetViews>
    <sheetView zoomScale="74" zoomScaleNormal="74" workbookViewId="0">
      <selection activeCell="Z8" sqref="Z8"/>
    </sheetView>
  </sheetViews>
  <sheetFormatPr defaultRowHeight="15" customHeight="1" x14ac:dyDescent="0.35"/>
  <cols>
    <col min="1" max="1" width="8.7265625" style="1"/>
    <col min="2" max="2" width="17.7265625" style="1" customWidth="1"/>
    <col min="3" max="3" width="3.90625" style="1" customWidth="1"/>
    <col min="4" max="16384" width="8.7265625" style="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64C3-BAB5-4F15-9A0B-C75B39378A4B}">
  <sheetPr codeName="Sheet2"/>
  <dimension ref="D2:AF52"/>
  <sheetViews>
    <sheetView zoomScale="79" zoomScaleNormal="79" workbookViewId="0">
      <selection activeCell="K7" sqref="K7"/>
    </sheetView>
  </sheetViews>
  <sheetFormatPr defaultRowHeight="20" customHeight="1" x14ac:dyDescent="0.35"/>
  <cols>
    <col min="1" max="1" width="8.7265625" style="19"/>
    <col min="2" max="2" width="17.7265625" style="19" customWidth="1"/>
    <col min="3" max="3" width="4.6328125" style="19" customWidth="1"/>
    <col min="4" max="4" width="14.26953125" style="19" customWidth="1"/>
    <col min="5" max="5" width="31.1796875" style="19" customWidth="1"/>
    <col min="6" max="6" width="8.7265625" style="19"/>
    <col min="7" max="7" width="13.08984375" style="19" customWidth="1"/>
    <col min="8" max="8" width="6.1796875" style="19" customWidth="1"/>
    <col min="9" max="9" width="10.08984375" style="19" customWidth="1"/>
    <col min="10" max="10" width="17.54296875" style="19" customWidth="1"/>
    <col min="11" max="11" width="27.26953125" style="19" customWidth="1"/>
    <col min="12" max="12" width="8.7265625" style="19"/>
    <col min="13" max="13" width="11" style="19" customWidth="1"/>
    <col min="14" max="14" width="8.7265625" style="19"/>
    <col min="15" max="15" width="12.08984375" style="19" customWidth="1"/>
    <col min="16" max="16" width="16.54296875" style="19" bestFit="1" customWidth="1"/>
    <col min="17" max="20" width="8.7265625" style="19"/>
    <col min="21" max="21" width="3.81640625" style="19" customWidth="1"/>
    <col min="22" max="22" width="12.90625" style="19" customWidth="1"/>
    <col min="23" max="23" width="13.7265625" style="19" customWidth="1"/>
    <col min="24" max="24" width="12.90625" style="19" customWidth="1"/>
    <col min="25" max="25" width="17.08984375" style="19" customWidth="1"/>
    <col min="26" max="26" width="8.7265625" style="19"/>
    <col min="27" max="27" width="13.08984375" style="19" customWidth="1"/>
    <col min="28" max="28" width="13.1796875" style="19" customWidth="1"/>
    <col min="29" max="29" width="8.7265625" style="19"/>
    <col min="30" max="30" width="11.1796875" style="19" customWidth="1"/>
    <col min="31" max="31" width="11.7265625" style="19" customWidth="1"/>
    <col min="32" max="32" width="23.26953125" style="19" customWidth="1"/>
    <col min="33" max="16384" width="8.7265625" style="19"/>
  </cols>
  <sheetData>
    <row r="2" spans="4:32" ht="25" customHeight="1" x14ac:dyDescent="0.35"/>
    <row r="4" spans="4:32" ht="20" customHeight="1" x14ac:dyDescent="0.35">
      <c r="D4" s="49" t="s">
        <v>164</v>
      </c>
      <c r="E4" s="50"/>
      <c r="J4" s="46" t="s">
        <v>155</v>
      </c>
      <c r="K4" s="47"/>
    </row>
    <row r="5" spans="4:32" ht="20" customHeight="1" x14ac:dyDescent="0.35">
      <c r="D5" s="51"/>
      <c r="E5" s="51"/>
      <c r="J5" s="48"/>
      <c r="K5" s="48"/>
    </row>
    <row r="6" spans="4:32" ht="20" customHeight="1" x14ac:dyDescent="0.35">
      <c r="D6" s="20" t="s">
        <v>5</v>
      </c>
      <c r="E6" s="21">
        <v>46105</v>
      </c>
      <c r="J6" s="22" t="s">
        <v>5</v>
      </c>
      <c r="K6" s="21">
        <v>46105</v>
      </c>
    </row>
    <row r="7" spans="4:32" ht="20" customHeight="1" x14ac:dyDescent="0.35">
      <c r="D7" s="20" t="s">
        <v>9</v>
      </c>
      <c r="E7" s="23" t="s">
        <v>103</v>
      </c>
      <c r="J7" s="22" t="s">
        <v>9</v>
      </c>
      <c r="K7" s="23" t="s">
        <v>103</v>
      </c>
    </row>
    <row r="8" spans="4:32" ht="20" customHeight="1" x14ac:dyDescent="0.35">
      <c r="D8" s="20" t="s">
        <v>1</v>
      </c>
      <c r="E8" s="23" t="s">
        <v>32</v>
      </c>
      <c r="J8" s="22" t="s">
        <v>1</v>
      </c>
      <c r="K8" s="23" t="s">
        <v>32</v>
      </c>
    </row>
    <row r="9" spans="4:32" ht="20" customHeight="1" x14ac:dyDescent="0.35">
      <c r="D9" s="20" t="s">
        <v>0</v>
      </c>
      <c r="E9" s="23" t="s">
        <v>106</v>
      </c>
      <c r="J9" s="22" t="s">
        <v>0</v>
      </c>
      <c r="K9" s="23" t="s">
        <v>107</v>
      </c>
    </row>
    <row r="10" spans="4:32" ht="20" customHeight="1" x14ac:dyDescent="0.35">
      <c r="D10" s="20" t="s">
        <v>10</v>
      </c>
      <c r="E10" s="23" t="str" cm="1">
        <f t="array" ref="E10">_xlfn.XLOOKUP(1,(Table1[Product Name]=E9)*(Table1[Brand]=E8)*(Table1[Category]=E7),Table1[Size_ml],"")</f>
        <v>236ml</v>
      </c>
      <c r="J10" s="22" t="s">
        <v>10</v>
      </c>
      <c r="K10" s="23" t="str" cm="1">
        <f t="array" ref="K10">_xlfn.XLOOKUP(1,(Table1[Product Name]=K9)*(Table1[Brand]=K8)*(Table1[Category]=K7),Table1[Size_ml],"")</f>
        <v>236ml</v>
      </c>
    </row>
    <row r="11" spans="4:32" ht="20" customHeight="1" x14ac:dyDescent="0.35">
      <c r="D11" s="20" t="s">
        <v>6</v>
      </c>
      <c r="E11" s="23" t="str" cm="1">
        <f t="array" ref="E11">_xlfn.XLOOKUP(1,(Table1[Category]='Entry Form'!E7)*(Table1[Brand]='Entry Form'!E8)*(Table1[Product Name]='Entry Form'!E9)*(Table1[Size_ml]='Entry Form'!E10),Table1[Product ID],"")</f>
        <v>PR043</v>
      </c>
      <c r="J11" s="22" t="s">
        <v>6</v>
      </c>
      <c r="K11" s="23" t="str" cm="1">
        <f t="array" ref="K11">_xlfn.XLOOKUP(1,(Table1[Category]=K7)*(Table1[Brand]=K8)*(Table1[Product Name]=K9)*(Table1[Size_ml]=K10),Table1[Product ID],"")</f>
        <v>PR044</v>
      </c>
    </row>
    <row r="12" spans="4:32" ht="20" customHeight="1" x14ac:dyDescent="0.35">
      <c r="D12" s="20" t="s">
        <v>11</v>
      </c>
      <c r="E12" s="23" t="s">
        <v>295</v>
      </c>
      <c r="J12" s="22" t="s">
        <v>14</v>
      </c>
      <c r="K12" s="23" t="s">
        <v>296</v>
      </c>
      <c r="V12" s="19" t="s">
        <v>162</v>
      </c>
    </row>
    <row r="13" spans="4:32" ht="20" customHeight="1" x14ac:dyDescent="0.35">
      <c r="D13" s="20" t="s">
        <v>12</v>
      </c>
      <c r="E13" s="24">
        <v>5</v>
      </c>
      <c r="J13" s="22" t="s">
        <v>12</v>
      </c>
      <c r="K13" s="24">
        <v>24</v>
      </c>
    </row>
    <row r="14" spans="4:32" ht="20" customHeight="1" x14ac:dyDescent="0.35">
      <c r="D14" s="20" t="s">
        <v>7</v>
      </c>
      <c r="E14" s="24" cm="1">
        <f t="array" ref="E14">_xlfn.XLOOKUP(1,(Table1[Product Name]=E9)*(Table1[Brand]=E8)*(Table1[Category]=E7),Table1[Selling Price],"")</f>
        <v>4500</v>
      </c>
      <c r="J14" s="22" t="s">
        <v>15</v>
      </c>
      <c r="K14" s="24" cm="1">
        <f t="array" ref="K14">_xlfn.XLOOKUP(1,(Table1[Product Name]=K9)*(Table1[Brand]=K8)*(Table1[Category]=K7),Table1[Costprice],"")</f>
        <v>3000</v>
      </c>
      <c r="V14" s="19" t="s">
        <v>5</v>
      </c>
      <c r="W14" s="19" t="s">
        <v>9</v>
      </c>
      <c r="X14" s="19" t="s">
        <v>1</v>
      </c>
      <c r="Y14" s="19" t="s">
        <v>0</v>
      </c>
      <c r="Z14" s="19" t="s">
        <v>10</v>
      </c>
      <c r="AA14" s="19" t="s">
        <v>6</v>
      </c>
      <c r="AB14" s="19" t="s">
        <v>14</v>
      </c>
      <c r="AC14" s="19" t="s">
        <v>12</v>
      </c>
      <c r="AD14" s="19" t="s">
        <v>15</v>
      </c>
      <c r="AE14" s="19" t="s">
        <v>16</v>
      </c>
      <c r="AF14" s="19" t="s">
        <v>161</v>
      </c>
    </row>
    <row r="15" spans="4:32" ht="20" customHeight="1" x14ac:dyDescent="0.35">
      <c r="D15" s="20" t="s">
        <v>8</v>
      </c>
      <c r="E15" s="24">
        <f>PRODUCT(E14,E13)</f>
        <v>22500</v>
      </c>
      <c r="J15" s="22" t="s">
        <v>16</v>
      </c>
      <c r="K15" s="24">
        <f>PRODUCT(K14,K13)</f>
        <v>72000</v>
      </c>
      <c r="V15" s="25">
        <f>K6</f>
        <v>46105</v>
      </c>
      <c r="W15" s="19" t="str">
        <f>K7</f>
        <v>Body mist</v>
      </c>
      <c r="X15" s="19" t="str">
        <f>K8</f>
        <v>Confetti London</v>
      </c>
      <c r="Y15" s="19" t="str">
        <f>K9</f>
        <v>joy</v>
      </c>
      <c r="Z15" s="19" t="str">
        <f>K10</f>
        <v>236ml</v>
      </c>
      <c r="AA15" s="19" t="str">
        <f>K11</f>
        <v>PR044</v>
      </c>
      <c r="AB15" s="19" t="str">
        <f>K12</f>
        <v>maria</v>
      </c>
      <c r="AC15" s="26">
        <f>K13</f>
        <v>24</v>
      </c>
      <c r="AD15" s="26">
        <f>K14</f>
        <v>3000</v>
      </c>
      <c r="AE15" s="26">
        <f>K15</f>
        <v>72000</v>
      </c>
      <c r="AF15" s="27">
        <f ca="1">NOW()</f>
        <v>46105.506433333336</v>
      </c>
    </row>
    <row r="16" spans="4:32" ht="20" customHeight="1" x14ac:dyDescent="0.35">
      <c r="D16" s="20" t="s">
        <v>158</v>
      </c>
      <c r="E16" s="23">
        <v>24</v>
      </c>
      <c r="J16" s="36"/>
      <c r="K16" s="37"/>
    </row>
    <row r="17" spans="4:11" ht="20" customHeight="1" x14ac:dyDescent="0.35">
      <c r="D17" s="28" t="s">
        <v>13</v>
      </c>
      <c r="E17" s="29" t="s">
        <v>186</v>
      </c>
      <c r="J17" s="38"/>
      <c r="K17" s="39"/>
    </row>
    <row r="18" spans="4:11" ht="20" customHeight="1" x14ac:dyDescent="0.35">
      <c r="D18" s="42"/>
      <c r="E18" s="43"/>
      <c r="J18" s="40"/>
      <c r="K18" s="41"/>
    </row>
    <row r="19" spans="4:11" ht="20" customHeight="1" x14ac:dyDescent="0.35">
      <c r="D19" s="44"/>
      <c r="E19" s="45"/>
    </row>
    <row r="37" spans="4:16" ht="20" customHeight="1" x14ac:dyDescent="0.35">
      <c r="D37" s="19" t="s">
        <v>5</v>
      </c>
      <c r="E37" s="19" t="s">
        <v>9</v>
      </c>
      <c r="F37" s="19" t="s">
        <v>1</v>
      </c>
      <c r="G37" s="19" t="s">
        <v>0</v>
      </c>
      <c r="H37" s="19" t="s">
        <v>10</v>
      </c>
      <c r="I37" s="19" t="s">
        <v>6</v>
      </c>
      <c r="J37" s="19" t="s">
        <v>11</v>
      </c>
      <c r="K37" s="19" t="s">
        <v>12</v>
      </c>
      <c r="L37" s="19" t="s">
        <v>7</v>
      </c>
      <c r="M37" s="19" t="s">
        <v>8</v>
      </c>
      <c r="N37" s="19" t="s">
        <v>158</v>
      </c>
      <c r="O37" s="19" t="s">
        <v>13</v>
      </c>
      <c r="P37" s="19" t="s">
        <v>160</v>
      </c>
    </row>
    <row r="38" spans="4:16" ht="20" customHeight="1" x14ac:dyDescent="0.35">
      <c r="D38" s="25">
        <f>E6</f>
        <v>46105</v>
      </c>
      <c r="E38" s="19" t="str">
        <f>E7</f>
        <v>Body mist</v>
      </c>
      <c r="F38" s="19" t="str">
        <f>E8</f>
        <v>Confetti London</v>
      </c>
      <c r="G38" s="19" t="str">
        <f>E9</f>
        <v>Dear</v>
      </c>
      <c r="H38" s="19" t="str">
        <f>E10</f>
        <v>236ml</v>
      </c>
      <c r="I38" s="19" t="str">
        <f>E11</f>
        <v>PR043</v>
      </c>
      <c r="J38" s="19" t="str">
        <f>E12</f>
        <v>wisdom</v>
      </c>
      <c r="K38" s="26">
        <f>E13</f>
        <v>5</v>
      </c>
      <c r="L38" s="26">
        <f>E14</f>
        <v>4500</v>
      </c>
      <c r="M38" s="26">
        <f>E15</f>
        <v>22500</v>
      </c>
      <c r="N38" s="19">
        <f>E16</f>
        <v>24</v>
      </c>
      <c r="O38" s="19" t="str">
        <f>E17</f>
        <v>Instagram</v>
      </c>
      <c r="P38" s="30">
        <v>46091.157384259262</v>
      </c>
    </row>
    <row r="40" spans="4:16" ht="20" customHeight="1" x14ac:dyDescent="0.35">
      <c r="D40" s="31"/>
      <c r="E40" s="25"/>
    </row>
    <row r="41" spans="4:16" ht="20" customHeight="1" x14ac:dyDescent="0.35">
      <c r="D41" s="31"/>
    </row>
    <row r="42" spans="4:16" ht="20" customHeight="1" x14ac:dyDescent="0.35">
      <c r="D42" s="31"/>
    </row>
    <row r="43" spans="4:16" ht="20" customHeight="1" x14ac:dyDescent="0.35">
      <c r="D43" s="31"/>
    </row>
    <row r="44" spans="4:16" ht="20" customHeight="1" x14ac:dyDescent="0.35">
      <c r="D44" s="31"/>
    </row>
    <row r="45" spans="4:16" ht="20" customHeight="1" x14ac:dyDescent="0.35">
      <c r="D45" s="32"/>
    </row>
    <row r="46" spans="4:16" ht="20" customHeight="1" x14ac:dyDescent="0.35">
      <c r="D46" s="31"/>
    </row>
    <row r="47" spans="4:16" ht="20" customHeight="1" x14ac:dyDescent="0.35">
      <c r="D47" s="31"/>
      <c r="E47" s="26"/>
    </row>
    <row r="48" spans="4:16" ht="20" customHeight="1" x14ac:dyDescent="0.35">
      <c r="D48" s="31"/>
      <c r="E48" s="26"/>
    </row>
    <row r="49" spans="4:5" ht="20" customHeight="1" x14ac:dyDescent="0.35">
      <c r="D49" s="31"/>
      <c r="E49" s="26"/>
    </row>
    <row r="50" spans="4:5" ht="20" customHeight="1" x14ac:dyDescent="0.35">
      <c r="D50" s="31"/>
    </row>
    <row r="51" spans="4:5" ht="20" customHeight="1" x14ac:dyDescent="0.35">
      <c r="D51" s="33"/>
    </row>
    <row r="52" spans="4:5" ht="20" customHeight="1" x14ac:dyDescent="0.35">
      <c r="E52" s="30"/>
    </row>
  </sheetData>
  <mergeCells count="4">
    <mergeCell ref="J16:K18"/>
    <mergeCell ref="D18:E19"/>
    <mergeCell ref="J4:K5"/>
    <mergeCell ref="D4:E5"/>
  </mergeCells>
  <dataValidations count="1">
    <dataValidation type="list" allowBlank="1" showInputMessage="1" showErrorMessage="1" sqref="E17" xr:uid="{968D3C8A-D928-43E4-A5AB-2B80B2B52F41}">
      <formula1>"Whatsapp,Tik tok,Instagram,Offline,Facebook"</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3BB8445-AE47-4A96-99CF-AD7A598DC5BC}">
          <x14:formula1>
            <xm:f>_xlfn.ANCHORARRAY('Helper Sheet'!$A$2)</xm:f>
          </x14:formula1>
          <xm:sqref>E7</xm:sqref>
        </x14:dataValidation>
        <x14:dataValidation type="list" allowBlank="1" showInputMessage="1" showErrorMessage="1" xr:uid="{4A494D4C-A3D1-44D3-BB92-4FF9A241C296}">
          <x14:formula1>
            <xm:f>_xlfn.ANCHORARRAY('Helper Sheet'!$D$2)</xm:f>
          </x14:formula1>
          <xm:sqref>E8</xm:sqref>
        </x14:dataValidation>
        <x14:dataValidation type="list" allowBlank="1" showInputMessage="1" showErrorMessage="1" xr:uid="{50498B6F-DED3-46BD-A134-29AA163EEA70}">
          <x14:formula1>
            <xm:f>_xlfn.ANCHORARRAY('Helper Sheet'!$F$2)</xm:f>
          </x14:formula1>
          <xm:sqref>E9</xm:sqref>
        </x14:dataValidation>
        <x14:dataValidation type="list" allowBlank="1" showInputMessage="1" showErrorMessage="1" xr:uid="{6196ED4D-937D-41C6-A0DD-9C48475E6926}">
          <x14:formula1>
            <xm:f>_xlfn.ANCHORARRAY('Helper Sheet'!$I$2)</xm:f>
          </x14:formula1>
          <xm:sqref>K7</xm:sqref>
        </x14:dataValidation>
        <x14:dataValidation type="list" allowBlank="1" showInputMessage="1" showErrorMessage="1" xr:uid="{17193522-46CA-420D-A02E-89CA91DB5A05}">
          <x14:formula1>
            <xm:f>_xlfn.ANCHORARRAY('Helper Sheet'!$K$2)</xm:f>
          </x14:formula1>
          <xm:sqref>K8</xm:sqref>
        </x14:dataValidation>
        <x14:dataValidation type="list" allowBlank="1" showInputMessage="1" showErrorMessage="1" xr:uid="{9F7BE07F-4E24-43A1-B275-973DE20FFAFF}">
          <x14:formula1>
            <xm:f>_xlfn.ANCHORARRAY('Helper Sheet'!$M$2)</xm:f>
          </x14:formula1>
          <xm:sqref>K9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097E5-5F45-4CD7-93CB-8B9FAB8C717C}">
  <sheetPr codeName="Sheet3"/>
  <dimension ref="D3:M65"/>
  <sheetViews>
    <sheetView tabSelected="1" zoomScale="86" zoomScaleNormal="88" workbookViewId="0">
      <selection activeCell="D5" sqref="D5"/>
    </sheetView>
  </sheetViews>
  <sheetFormatPr defaultRowHeight="15" customHeight="1" x14ac:dyDescent="0.35"/>
  <cols>
    <col min="1" max="1" width="8.7265625" style="1"/>
    <col min="2" max="2" width="17.7265625" style="1" customWidth="1"/>
    <col min="3" max="3" width="4.08984375" style="1" customWidth="1"/>
    <col min="4" max="4" width="12.6328125" style="1" customWidth="1"/>
    <col min="5" max="5" width="18.90625" style="1" customWidth="1"/>
    <col min="6" max="6" width="21.36328125" style="1" customWidth="1"/>
    <col min="7" max="7" width="18.26953125" style="1" customWidth="1"/>
    <col min="8" max="8" width="9.81640625" style="1" customWidth="1"/>
    <col min="9" max="9" width="12.08984375" style="1" customWidth="1"/>
    <col min="10" max="10" width="13.54296875" style="1" customWidth="1"/>
    <col min="11" max="11" width="21.36328125" style="1" customWidth="1"/>
    <col min="12" max="12" width="16.36328125" style="1" customWidth="1"/>
    <col min="13" max="13" width="15.54296875" style="1" customWidth="1"/>
    <col min="14" max="16384" width="8.7265625" style="1"/>
  </cols>
  <sheetData>
    <row r="3" spans="4:13" ht="24.5" customHeight="1" x14ac:dyDescent="0.35"/>
    <row r="4" spans="4:13" ht="15" customHeight="1" x14ac:dyDescent="0.35">
      <c r="D4" s="2" t="s">
        <v>6</v>
      </c>
      <c r="E4" s="2" t="s">
        <v>0</v>
      </c>
      <c r="F4" s="2" t="s">
        <v>1</v>
      </c>
      <c r="G4" s="2" t="s">
        <v>9</v>
      </c>
      <c r="H4" s="2" t="s">
        <v>2</v>
      </c>
      <c r="I4" s="2" t="s">
        <v>3</v>
      </c>
      <c r="J4" s="2" t="s">
        <v>4</v>
      </c>
      <c r="L4" s="52" t="s">
        <v>289</v>
      </c>
      <c r="M4" s="53"/>
    </row>
    <row r="5" spans="4:13" ht="15" customHeight="1" x14ac:dyDescent="0.35">
      <c r="D5" s="1" t="s">
        <v>190</v>
      </c>
      <c r="E5" s="1" t="s">
        <v>33</v>
      </c>
      <c r="F5" s="1" t="s">
        <v>32</v>
      </c>
      <c r="G5" s="1" t="s">
        <v>41</v>
      </c>
      <c r="H5" s="1" t="s">
        <v>42</v>
      </c>
      <c r="I5" s="7">
        <v>3500</v>
      </c>
      <c r="J5" s="7">
        <v>5000</v>
      </c>
      <c r="L5" s="34" t="s">
        <v>6</v>
      </c>
      <c r="M5" s="34" t="str" cm="1">
        <f t="array" ref="M5">_xlfn.XLOOKUP(1,(Table1[Category]=M6)*(Table1[Brand]=M7)*(Table1[Product Name]=M8),Table1[Product ID],"")</f>
        <v>PR008</v>
      </c>
    </row>
    <row r="6" spans="4:13" ht="15" customHeight="1" x14ac:dyDescent="0.35">
      <c r="D6" s="1" t="s">
        <v>191</v>
      </c>
      <c r="E6" s="1" t="s">
        <v>34</v>
      </c>
      <c r="F6" s="1" t="s">
        <v>32</v>
      </c>
      <c r="G6" s="1" t="s">
        <v>41</v>
      </c>
      <c r="H6" s="1" t="s">
        <v>42</v>
      </c>
      <c r="I6" s="7">
        <v>3500</v>
      </c>
      <c r="J6" s="7">
        <v>5500</v>
      </c>
      <c r="L6" s="34" t="s">
        <v>9</v>
      </c>
      <c r="M6" s="34" t="s">
        <v>41</v>
      </c>
    </row>
    <row r="7" spans="4:13" ht="15" customHeight="1" x14ac:dyDescent="0.35">
      <c r="D7" s="1" t="s">
        <v>192</v>
      </c>
      <c r="E7" s="1" t="s">
        <v>35</v>
      </c>
      <c r="F7" s="1" t="s">
        <v>32</v>
      </c>
      <c r="G7" s="1" t="s">
        <v>41</v>
      </c>
      <c r="H7" s="1" t="s">
        <v>42</v>
      </c>
      <c r="I7" s="7">
        <v>3000</v>
      </c>
      <c r="J7" s="7">
        <v>4500</v>
      </c>
      <c r="L7" s="34" t="s">
        <v>1</v>
      </c>
      <c r="M7" s="34" t="s">
        <v>32</v>
      </c>
    </row>
    <row r="8" spans="4:13" ht="15" customHeight="1" x14ac:dyDescent="0.35">
      <c r="D8" s="1" t="s">
        <v>193</v>
      </c>
      <c r="E8" s="1" t="s">
        <v>36</v>
      </c>
      <c r="F8" s="1" t="s">
        <v>32</v>
      </c>
      <c r="G8" s="1" t="s">
        <v>41</v>
      </c>
      <c r="H8" s="1" t="s">
        <v>42</v>
      </c>
      <c r="I8" s="7">
        <v>3000</v>
      </c>
      <c r="J8" s="7">
        <v>4500</v>
      </c>
      <c r="L8" s="34" t="s">
        <v>0</v>
      </c>
      <c r="M8" s="34" t="s">
        <v>40</v>
      </c>
    </row>
    <row r="9" spans="4:13" ht="15" customHeight="1" x14ac:dyDescent="0.35">
      <c r="D9" s="1" t="s">
        <v>194</v>
      </c>
      <c r="E9" s="1" t="s">
        <v>37</v>
      </c>
      <c r="F9" s="1" t="s">
        <v>32</v>
      </c>
      <c r="G9" s="1" t="s">
        <v>41</v>
      </c>
      <c r="H9" s="1" t="s">
        <v>42</v>
      </c>
      <c r="I9" s="7">
        <v>3000</v>
      </c>
      <c r="J9" s="7">
        <v>4500</v>
      </c>
      <c r="L9" s="34" t="s">
        <v>2</v>
      </c>
      <c r="M9" s="34" t="str" cm="1">
        <f t="array" ref="M9">_xlfn.XLOOKUP(1,(Table1[Category]=M6)*(Table1[Brand]=M7)*(Table1[Product Name]=M8),Table1[Size_ml],"")</f>
        <v>250ml</v>
      </c>
    </row>
    <row r="10" spans="4:13" ht="15" customHeight="1" x14ac:dyDescent="0.35">
      <c r="D10" s="1" t="s">
        <v>195</v>
      </c>
      <c r="E10" s="1" t="s">
        <v>38</v>
      </c>
      <c r="F10" s="1" t="s">
        <v>32</v>
      </c>
      <c r="G10" s="1" t="s">
        <v>41</v>
      </c>
      <c r="H10" s="1" t="s">
        <v>42</v>
      </c>
      <c r="I10" s="7">
        <v>3000</v>
      </c>
      <c r="J10" s="7">
        <v>4500</v>
      </c>
      <c r="L10" s="34" t="s">
        <v>288</v>
      </c>
      <c r="M10" s="35" cm="1">
        <f t="array" ref="M10">_xlfn.XLOOKUP(1,(Table1[Category]=M6)*(Table1[Brand]=M7)*(Table1[Product Name]=M8),Table1[Costprice],"")</f>
        <v>4000</v>
      </c>
    </row>
    <row r="11" spans="4:13" ht="15" customHeight="1" x14ac:dyDescent="0.35">
      <c r="D11" s="1" t="s">
        <v>196</v>
      </c>
      <c r="E11" s="1" t="s">
        <v>39</v>
      </c>
      <c r="F11" s="1" t="s">
        <v>32</v>
      </c>
      <c r="G11" s="1" t="s">
        <v>41</v>
      </c>
      <c r="H11" s="1" t="s">
        <v>42</v>
      </c>
      <c r="I11" s="7">
        <v>3000</v>
      </c>
      <c r="J11" s="7">
        <v>4500</v>
      </c>
      <c r="L11" s="34" t="s">
        <v>4</v>
      </c>
      <c r="M11" s="35" cm="1">
        <f t="array" ref="M11">_xlfn.XLOOKUP(1,(Table1[Category]=M6)*(Table1[Brand]=M7)*(Table1[Product Name]=M8),Table1[Selling Price],"")</f>
        <v>5500</v>
      </c>
    </row>
    <row r="12" spans="4:13" ht="15" customHeight="1" x14ac:dyDescent="0.35">
      <c r="D12" s="1" t="s">
        <v>197</v>
      </c>
      <c r="E12" s="1" t="s">
        <v>40</v>
      </c>
      <c r="F12" s="1" t="s">
        <v>32</v>
      </c>
      <c r="G12" s="1" t="s">
        <v>41</v>
      </c>
      <c r="H12" s="1" t="s">
        <v>42</v>
      </c>
      <c r="I12" s="7">
        <v>4000</v>
      </c>
      <c r="J12" s="7">
        <v>5500</v>
      </c>
      <c r="L12" s="34" t="s">
        <v>287</v>
      </c>
      <c r="M12" s="35">
        <v>4500</v>
      </c>
    </row>
    <row r="13" spans="4:13" ht="15" customHeight="1" x14ac:dyDescent="0.35">
      <c r="D13" s="1" t="s">
        <v>198</v>
      </c>
      <c r="E13" s="1" t="s">
        <v>43</v>
      </c>
      <c r="F13" s="1" t="s">
        <v>49</v>
      </c>
      <c r="G13" s="1" t="s">
        <v>41</v>
      </c>
      <c r="H13" s="1" t="s">
        <v>50</v>
      </c>
      <c r="I13" s="7">
        <v>5500</v>
      </c>
      <c r="J13" s="7">
        <v>6500</v>
      </c>
      <c r="L13" s="34" t="s">
        <v>286</v>
      </c>
      <c r="M13" s="35">
        <v>6000</v>
      </c>
    </row>
    <row r="14" spans="4:13" ht="15" customHeight="1" x14ac:dyDescent="0.35">
      <c r="D14" s="1" t="s">
        <v>199</v>
      </c>
      <c r="E14" s="1" t="s">
        <v>44</v>
      </c>
      <c r="F14" s="1" t="s">
        <v>49</v>
      </c>
      <c r="G14" s="1" t="s">
        <v>41</v>
      </c>
      <c r="H14" s="1" t="s">
        <v>50</v>
      </c>
      <c r="I14" s="7">
        <v>5500</v>
      </c>
      <c r="J14" s="7">
        <v>7000</v>
      </c>
    </row>
    <row r="15" spans="4:13" ht="15" customHeight="1" x14ac:dyDescent="0.35">
      <c r="D15" s="1" t="s">
        <v>200</v>
      </c>
      <c r="E15" s="1" t="s">
        <v>45</v>
      </c>
      <c r="F15" s="1" t="s">
        <v>49</v>
      </c>
      <c r="G15" s="1" t="s">
        <v>41</v>
      </c>
      <c r="H15" s="1" t="s">
        <v>50</v>
      </c>
      <c r="I15" s="7">
        <v>7500</v>
      </c>
      <c r="J15" s="7">
        <v>8500</v>
      </c>
    </row>
    <row r="16" spans="4:13" ht="15" customHeight="1" x14ac:dyDescent="0.35">
      <c r="D16" s="1" t="s">
        <v>201</v>
      </c>
      <c r="E16" s="1" t="s">
        <v>46</v>
      </c>
      <c r="F16" s="1" t="s">
        <v>49</v>
      </c>
      <c r="G16" s="1" t="s">
        <v>41</v>
      </c>
      <c r="H16" s="1" t="s">
        <v>50</v>
      </c>
      <c r="I16" s="7">
        <v>6000</v>
      </c>
      <c r="J16" s="7">
        <v>7600</v>
      </c>
    </row>
    <row r="17" spans="4:10" ht="15" customHeight="1" x14ac:dyDescent="0.35">
      <c r="D17" s="1" t="s">
        <v>202</v>
      </c>
      <c r="E17" s="1" t="s">
        <v>47</v>
      </c>
      <c r="F17" s="1" t="s">
        <v>49</v>
      </c>
      <c r="G17" s="1" t="s">
        <v>41</v>
      </c>
      <c r="H17" s="1" t="s">
        <v>50</v>
      </c>
      <c r="I17" s="7">
        <v>4500</v>
      </c>
      <c r="J17" s="7">
        <v>4300</v>
      </c>
    </row>
    <row r="18" spans="4:10" ht="15" customHeight="1" x14ac:dyDescent="0.35">
      <c r="D18" s="1" t="s">
        <v>203</v>
      </c>
      <c r="E18" s="1" t="s">
        <v>48</v>
      </c>
      <c r="F18" s="1" t="s">
        <v>49</v>
      </c>
      <c r="G18" s="1" t="s">
        <v>41</v>
      </c>
      <c r="H18" s="1" t="s">
        <v>50</v>
      </c>
      <c r="I18" s="7">
        <v>3500</v>
      </c>
      <c r="J18" s="7">
        <v>5000</v>
      </c>
    </row>
    <row r="19" spans="4:10" ht="15" customHeight="1" x14ac:dyDescent="0.35">
      <c r="D19" s="1" t="s">
        <v>204</v>
      </c>
      <c r="E19" s="1" t="s">
        <v>52</v>
      </c>
      <c r="F19" s="1" t="s">
        <v>57</v>
      </c>
      <c r="G19" s="1" t="s">
        <v>41</v>
      </c>
      <c r="H19" s="1" t="s">
        <v>42</v>
      </c>
      <c r="I19" s="7">
        <v>2700</v>
      </c>
      <c r="J19" s="7">
        <v>3500</v>
      </c>
    </row>
    <row r="20" spans="4:10" ht="15" customHeight="1" x14ac:dyDescent="0.35">
      <c r="D20" s="1" t="s">
        <v>205</v>
      </c>
      <c r="E20" s="1" t="s">
        <v>53</v>
      </c>
      <c r="F20" s="1" t="s">
        <v>57</v>
      </c>
      <c r="G20" s="1" t="s">
        <v>41</v>
      </c>
      <c r="H20" s="1" t="s">
        <v>42</v>
      </c>
      <c r="I20" s="7">
        <v>2700</v>
      </c>
      <c r="J20" s="7">
        <v>3500</v>
      </c>
    </row>
    <row r="21" spans="4:10" ht="15" customHeight="1" x14ac:dyDescent="0.35">
      <c r="D21" s="1" t="s">
        <v>206</v>
      </c>
      <c r="E21" s="1" t="s">
        <v>54</v>
      </c>
      <c r="F21" s="1" t="s">
        <v>57</v>
      </c>
      <c r="G21" s="1" t="s">
        <v>41</v>
      </c>
      <c r="H21" s="1" t="s">
        <v>42</v>
      </c>
      <c r="I21" s="7">
        <v>2700</v>
      </c>
      <c r="J21" s="7">
        <v>3500</v>
      </c>
    </row>
    <row r="22" spans="4:10" ht="15" customHeight="1" x14ac:dyDescent="0.35">
      <c r="D22" s="1" t="s">
        <v>207</v>
      </c>
      <c r="E22" s="1" t="s">
        <v>55</v>
      </c>
      <c r="F22" s="1" t="s">
        <v>57</v>
      </c>
      <c r="G22" s="1" t="s">
        <v>41</v>
      </c>
      <c r="H22" s="1" t="s">
        <v>42</v>
      </c>
      <c r="I22" s="7">
        <v>2700</v>
      </c>
      <c r="J22" s="7">
        <v>3500</v>
      </c>
    </row>
    <row r="23" spans="4:10" ht="15" customHeight="1" x14ac:dyDescent="0.35">
      <c r="D23" s="1" t="s">
        <v>208</v>
      </c>
      <c r="E23" s="1" t="s">
        <v>56</v>
      </c>
      <c r="F23" s="1" t="s">
        <v>57</v>
      </c>
      <c r="G23" s="1" t="s">
        <v>41</v>
      </c>
      <c r="H23" s="1" t="s">
        <v>42</v>
      </c>
      <c r="I23" s="7">
        <v>2700</v>
      </c>
      <c r="J23" s="7">
        <v>3500</v>
      </c>
    </row>
    <row r="24" spans="4:10" ht="15" customHeight="1" x14ac:dyDescent="0.35">
      <c r="D24" s="1" t="s">
        <v>209</v>
      </c>
      <c r="E24" s="1" t="s">
        <v>62</v>
      </c>
      <c r="F24" s="1" t="s">
        <v>66</v>
      </c>
      <c r="G24" s="1" t="s">
        <v>41</v>
      </c>
      <c r="H24" s="1" t="s">
        <v>42</v>
      </c>
      <c r="I24" s="7">
        <v>2800</v>
      </c>
      <c r="J24" s="7">
        <v>4000</v>
      </c>
    </row>
    <row r="25" spans="4:10" ht="15" customHeight="1" x14ac:dyDescent="0.35">
      <c r="D25" s="1" t="s">
        <v>210</v>
      </c>
      <c r="E25" s="1" t="s">
        <v>63</v>
      </c>
      <c r="F25" s="1" t="s">
        <v>66</v>
      </c>
      <c r="G25" s="1" t="s">
        <v>41</v>
      </c>
      <c r="H25" s="1" t="s">
        <v>42</v>
      </c>
      <c r="I25" s="7">
        <v>2800</v>
      </c>
      <c r="J25" s="7">
        <v>4000</v>
      </c>
    </row>
    <row r="26" spans="4:10" ht="15" customHeight="1" x14ac:dyDescent="0.35">
      <c r="D26" s="1" t="s">
        <v>211</v>
      </c>
      <c r="E26" s="1" t="s">
        <v>64</v>
      </c>
      <c r="F26" s="1" t="s">
        <v>66</v>
      </c>
      <c r="G26" s="1" t="s">
        <v>41</v>
      </c>
      <c r="H26" s="1" t="s">
        <v>42</v>
      </c>
      <c r="I26" s="7">
        <v>2800</v>
      </c>
      <c r="J26" s="7">
        <v>4000</v>
      </c>
    </row>
    <row r="27" spans="4:10" ht="15" customHeight="1" x14ac:dyDescent="0.35">
      <c r="D27" s="1" t="s">
        <v>212</v>
      </c>
      <c r="E27" s="1" t="s">
        <v>65</v>
      </c>
      <c r="F27" s="1" t="s">
        <v>66</v>
      </c>
      <c r="G27" s="1" t="s">
        <v>41</v>
      </c>
      <c r="H27" s="1" t="s">
        <v>42</v>
      </c>
      <c r="I27" s="7">
        <v>2800</v>
      </c>
      <c r="J27" s="7">
        <v>4000</v>
      </c>
    </row>
    <row r="28" spans="4:10" ht="15" customHeight="1" x14ac:dyDescent="0.35">
      <c r="D28" s="1" t="s">
        <v>213</v>
      </c>
      <c r="E28" s="1" t="s">
        <v>70</v>
      </c>
      <c r="F28" s="1" t="s">
        <v>49</v>
      </c>
      <c r="G28" s="1" t="s">
        <v>75</v>
      </c>
      <c r="H28" s="1" t="s">
        <v>76</v>
      </c>
      <c r="I28" s="7">
        <v>6500</v>
      </c>
      <c r="J28" s="7">
        <v>8000</v>
      </c>
    </row>
    <row r="29" spans="4:10" ht="15" customHeight="1" x14ac:dyDescent="0.35">
      <c r="D29" s="1" t="s">
        <v>214</v>
      </c>
      <c r="E29" s="1" t="s">
        <v>73</v>
      </c>
      <c r="F29" s="1" t="s">
        <v>49</v>
      </c>
      <c r="G29" s="1" t="s">
        <v>75</v>
      </c>
      <c r="H29" s="1" t="s">
        <v>76</v>
      </c>
      <c r="I29" s="7">
        <v>5700</v>
      </c>
      <c r="J29" s="7">
        <v>7000</v>
      </c>
    </row>
    <row r="30" spans="4:10" ht="15" customHeight="1" x14ac:dyDescent="0.35">
      <c r="D30" s="1" t="s">
        <v>215</v>
      </c>
      <c r="E30" s="1" t="s">
        <v>71</v>
      </c>
      <c r="F30" s="1" t="s">
        <v>49</v>
      </c>
      <c r="G30" s="1" t="s">
        <v>75</v>
      </c>
      <c r="H30" s="1" t="s">
        <v>76</v>
      </c>
      <c r="I30" s="7">
        <v>6000</v>
      </c>
      <c r="J30" s="7">
        <v>7500</v>
      </c>
    </row>
    <row r="31" spans="4:10" ht="15" customHeight="1" x14ac:dyDescent="0.35">
      <c r="D31" s="1" t="s">
        <v>216</v>
      </c>
      <c r="E31" s="1" t="s">
        <v>74</v>
      </c>
      <c r="F31" s="1" t="s">
        <v>49</v>
      </c>
      <c r="G31" s="1" t="s">
        <v>75</v>
      </c>
      <c r="H31" s="1" t="s">
        <v>76</v>
      </c>
      <c r="I31" s="7">
        <v>5600</v>
      </c>
      <c r="J31" s="7">
        <v>7500</v>
      </c>
    </row>
    <row r="32" spans="4:10" ht="15" customHeight="1" x14ac:dyDescent="0.35">
      <c r="D32" s="1" t="s">
        <v>217</v>
      </c>
      <c r="E32" s="1" t="s">
        <v>72</v>
      </c>
      <c r="F32" s="1" t="s">
        <v>49</v>
      </c>
      <c r="G32" s="1" t="s">
        <v>75</v>
      </c>
      <c r="H32" s="1" t="s">
        <v>76</v>
      </c>
      <c r="I32" s="7">
        <v>4500</v>
      </c>
      <c r="J32" s="7">
        <v>6000</v>
      </c>
    </row>
    <row r="33" spans="4:10" ht="15" customHeight="1" x14ac:dyDescent="0.35">
      <c r="D33" s="1" t="s">
        <v>218</v>
      </c>
      <c r="E33" s="1" t="s">
        <v>80</v>
      </c>
      <c r="F33" s="1" t="s">
        <v>84</v>
      </c>
      <c r="G33" s="1" t="s">
        <v>75</v>
      </c>
      <c r="H33" s="1" t="s">
        <v>76</v>
      </c>
      <c r="I33" s="7">
        <v>15000</v>
      </c>
      <c r="J33" s="7">
        <v>18000</v>
      </c>
    </row>
    <row r="34" spans="4:10" ht="15" customHeight="1" x14ac:dyDescent="0.35">
      <c r="D34" s="1" t="s">
        <v>219</v>
      </c>
      <c r="E34" s="1" t="s">
        <v>81</v>
      </c>
      <c r="F34" s="1" t="s">
        <v>84</v>
      </c>
      <c r="G34" s="1" t="s">
        <v>75</v>
      </c>
      <c r="H34" s="1" t="s">
        <v>76</v>
      </c>
      <c r="I34" s="7">
        <v>12000</v>
      </c>
      <c r="J34" s="7">
        <v>15000</v>
      </c>
    </row>
    <row r="35" spans="4:10" ht="15" customHeight="1" x14ac:dyDescent="0.35">
      <c r="D35" s="1" t="s">
        <v>220</v>
      </c>
      <c r="E35" s="1" t="s">
        <v>82</v>
      </c>
      <c r="F35" s="1" t="s">
        <v>84</v>
      </c>
      <c r="G35" s="1" t="s">
        <v>75</v>
      </c>
      <c r="H35" s="1" t="s">
        <v>76</v>
      </c>
      <c r="I35" s="7">
        <v>9500</v>
      </c>
      <c r="J35" s="7">
        <v>11500</v>
      </c>
    </row>
    <row r="36" spans="4:10" ht="15" customHeight="1" x14ac:dyDescent="0.35">
      <c r="D36" s="1" t="s">
        <v>221</v>
      </c>
      <c r="E36" s="1" t="s">
        <v>83</v>
      </c>
      <c r="F36" s="1" t="s">
        <v>84</v>
      </c>
      <c r="G36" s="1" t="s">
        <v>75</v>
      </c>
      <c r="H36" s="1" t="s">
        <v>76</v>
      </c>
      <c r="I36" s="7">
        <v>17500</v>
      </c>
      <c r="J36" s="7">
        <v>20500</v>
      </c>
    </row>
    <row r="37" spans="4:10" ht="15" customHeight="1" x14ac:dyDescent="0.35">
      <c r="D37" s="1" t="s">
        <v>222</v>
      </c>
      <c r="E37" s="1" t="s">
        <v>88</v>
      </c>
      <c r="F37" s="1" t="s">
        <v>93</v>
      </c>
      <c r="G37" s="1" t="s">
        <v>75</v>
      </c>
      <c r="H37" s="1" t="s">
        <v>76</v>
      </c>
      <c r="I37" s="7">
        <v>6500</v>
      </c>
      <c r="J37" s="7">
        <v>8000</v>
      </c>
    </row>
    <row r="38" spans="4:10" ht="15" customHeight="1" x14ac:dyDescent="0.35">
      <c r="D38" s="1" t="s">
        <v>223</v>
      </c>
      <c r="E38" s="1" t="s">
        <v>89</v>
      </c>
      <c r="F38" s="1" t="s">
        <v>93</v>
      </c>
      <c r="G38" s="1" t="s">
        <v>75</v>
      </c>
      <c r="H38" s="1" t="s">
        <v>76</v>
      </c>
      <c r="I38" s="7">
        <v>7500</v>
      </c>
      <c r="J38" s="7">
        <v>8500</v>
      </c>
    </row>
    <row r="39" spans="4:10" ht="15" customHeight="1" x14ac:dyDescent="0.35">
      <c r="D39" s="1" t="s">
        <v>224</v>
      </c>
      <c r="E39" s="1" t="s">
        <v>90</v>
      </c>
      <c r="F39" s="1" t="s">
        <v>93</v>
      </c>
      <c r="G39" s="1" t="s">
        <v>75</v>
      </c>
      <c r="H39" s="1" t="s">
        <v>76</v>
      </c>
      <c r="I39" s="7">
        <v>6000</v>
      </c>
      <c r="J39" s="7">
        <v>7000</v>
      </c>
    </row>
    <row r="40" spans="4:10" ht="15" customHeight="1" x14ac:dyDescent="0.35">
      <c r="D40" s="1" t="s">
        <v>225</v>
      </c>
      <c r="E40" s="1" t="s">
        <v>91</v>
      </c>
      <c r="F40" s="1" t="s">
        <v>93</v>
      </c>
      <c r="G40" s="1" t="s">
        <v>75</v>
      </c>
      <c r="H40" s="1" t="s">
        <v>76</v>
      </c>
      <c r="I40" s="7">
        <v>5500</v>
      </c>
      <c r="J40" s="7">
        <v>6500</v>
      </c>
    </row>
    <row r="41" spans="4:10" ht="15" customHeight="1" x14ac:dyDescent="0.35">
      <c r="D41" s="1" t="s">
        <v>226</v>
      </c>
      <c r="E41" s="1" t="s">
        <v>92</v>
      </c>
      <c r="F41" s="1" t="s">
        <v>93</v>
      </c>
      <c r="G41" s="1" t="s">
        <v>75</v>
      </c>
      <c r="H41" s="1" t="s">
        <v>76</v>
      </c>
      <c r="I41" s="7">
        <v>5800</v>
      </c>
      <c r="J41" s="7">
        <v>7000</v>
      </c>
    </row>
    <row r="42" spans="4:10" ht="15" customHeight="1" x14ac:dyDescent="0.35">
      <c r="D42" s="1" t="s">
        <v>227</v>
      </c>
      <c r="E42" s="1" t="s">
        <v>98</v>
      </c>
      <c r="F42" s="1" t="s">
        <v>102</v>
      </c>
      <c r="G42" s="1" t="s">
        <v>103</v>
      </c>
      <c r="H42" s="1" t="s">
        <v>76</v>
      </c>
      <c r="I42" s="7">
        <v>2500</v>
      </c>
      <c r="J42" s="7">
        <v>4000</v>
      </c>
    </row>
    <row r="43" spans="4:10" ht="15" customHeight="1" x14ac:dyDescent="0.35">
      <c r="D43" s="1" t="s">
        <v>228</v>
      </c>
      <c r="E43" s="1" t="s">
        <v>99</v>
      </c>
      <c r="F43" s="1" t="s">
        <v>102</v>
      </c>
      <c r="G43" s="1" t="s">
        <v>103</v>
      </c>
      <c r="H43" s="1" t="s">
        <v>76</v>
      </c>
      <c r="I43" s="7">
        <v>2500</v>
      </c>
      <c r="J43" s="7">
        <v>4000</v>
      </c>
    </row>
    <row r="44" spans="4:10" ht="15" customHeight="1" x14ac:dyDescent="0.35">
      <c r="D44" s="1" t="s">
        <v>229</v>
      </c>
      <c r="E44" s="1" t="s">
        <v>100</v>
      </c>
      <c r="F44" s="1" t="s">
        <v>102</v>
      </c>
      <c r="G44" s="1" t="s">
        <v>103</v>
      </c>
      <c r="H44" s="1" t="s">
        <v>76</v>
      </c>
      <c r="I44" s="7">
        <v>2500</v>
      </c>
      <c r="J44" s="7">
        <v>4000</v>
      </c>
    </row>
    <row r="45" spans="4:10" ht="15" customHeight="1" x14ac:dyDescent="0.35">
      <c r="D45" s="1" t="s">
        <v>230</v>
      </c>
      <c r="E45" s="1" t="s">
        <v>101</v>
      </c>
      <c r="F45" s="1" t="s">
        <v>102</v>
      </c>
      <c r="G45" s="1" t="s">
        <v>103</v>
      </c>
      <c r="H45" s="1" t="s">
        <v>76</v>
      </c>
      <c r="I45" s="7">
        <v>2500</v>
      </c>
      <c r="J45" s="7">
        <v>4000</v>
      </c>
    </row>
    <row r="46" spans="4:10" ht="15" customHeight="1" x14ac:dyDescent="0.35">
      <c r="D46" s="1" t="s">
        <v>231</v>
      </c>
      <c r="E46" s="1" t="s">
        <v>105</v>
      </c>
      <c r="F46" s="1" t="s">
        <v>32</v>
      </c>
      <c r="G46" s="1" t="s">
        <v>103</v>
      </c>
      <c r="H46" s="1" t="s">
        <v>108</v>
      </c>
      <c r="I46" s="7">
        <v>3000</v>
      </c>
      <c r="J46" s="7">
        <v>4500</v>
      </c>
    </row>
    <row r="47" spans="4:10" ht="15" customHeight="1" x14ac:dyDescent="0.35">
      <c r="D47" s="1" t="s">
        <v>232</v>
      </c>
      <c r="E47" s="1" t="s">
        <v>106</v>
      </c>
      <c r="F47" s="1" t="s">
        <v>32</v>
      </c>
      <c r="G47" s="1" t="s">
        <v>103</v>
      </c>
      <c r="H47" s="1" t="s">
        <v>108</v>
      </c>
      <c r="I47" s="7">
        <v>3000</v>
      </c>
      <c r="J47" s="7">
        <v>4500</v>
      </c>
    </row>
    <row r="48" spans="4:10" ht="15" customHeight="1" x14ac:dyDescent="0.35">
      <c r="D48" s="1" t="s">
        <v>233</v>
      </c>
      <c r="E48" s="1" t="s">
        <v>107</v>
      </c>
      <c r="F48" s="1" t="s">
        <v>32</v>
      </c>
      <c r="G48" s="1" t="s">
        <v>103</v>
      </c>
      <c r="H48" s="1" t="s">
        <v>108</v>
      </c>
      <c r="I48" s="7">
        <v>3000</v>
      </c>
      <c r="J48" s="7">
        <v>4500</v>
      </c>
    </row>
    <row r="49" spans="4:10" ht="15" customHeight="1" x14ac:dyDescent="0.35">
      <c r="D49" s="1" t="s">
        <v>234</v>
      </c>
      <c r="E49" s="1" t="s">
        <v>39</v>
      </c>
      <c r="F49" s="1" t="s">
        <v>32</v>
      </c>
      <c r="G49" s="1" t="s">
        <v>103</v>
      </c>
      <c r="H49" s="1" t="s">
        <v>108</v>
      </c>
      <c r="I49" s="7">
        <v>3000</v>
      </c>
      <c r="J49" s="7">
        <v>4500</v>
      </c>
    </row>
    <row r="50" spans="4:10" ht="15" customHeight="1" x14ac:dyDescent="0.35">
      <c r="D50" s="1" t="s">
        <v>235</v>
      </c>
      <c r="E50" s="1" t="s">
        <v>113</v>
      </c>
      <c r="F50" s="1" t="s">
        <v>116</v>
      </c>
      <c r="G50" s="1" t="s">
        <v>103</v>
      </c>
      <c r="H50" s="1" t="s">
        <v>108</v>
      </c>
      <c r="I50" s="7">
        <v>3200</v>
      </c>
      <c r="J50" s="7">
        <v>5000</v>
      </c>
    </row>
    <row r="51" spans="4:10" ht="15" customHeight="1" x14ac:dyDescent="0.35">
      <c r="D51" s="1" t="s">
        <v>236</v>
      </c>
      <c r="E51" s="1" t="s">
        <v>114</v>
      </c>
      <c r="F51" s="1" t="s">
        <v>116</v>
      </c>
      <c r="G51" s="1" t="s">
        <v>103</v>
      </c>
      <c r="H51" s="1" t="s">
        <v>108</v>
      </c>
      <c r="I51" s="7">
        <v>3200</v>
      </c>
      <c r="J51" s="7">
        <v>5000</v>
      </c>
    </row>
    <row r="52" spans="4:10" ht="15" customHeight="1" x14ac:dyDescent="0.35">
      <c r="D52" s="1" t="s">
        <v>237</v>
      </c>
      <c r="E52" s="1" t="s">
        <v>115</v>
      </c>
      <c r="F52" s="1" t="s">
        <v>116</v>
      </c>
      <c r="G52" s="1" t="s">
        <v>103</v>
      </c>
      <c r="H52" s="1" t="s">
        <v>108</v>
      </c>
      <c r="I52" s="7">
        <v>3200</v>
      </c>
      <c r="J52" s="7">
        <v>5000</v>
      </c>
    </row>
    <row r="53" spans="4:10" ht="15" customHeight="1" x14ac:dyDescent="0.35">
      <c r="D53" s="1" t="s">
        <v>238</v>
      </c>
      <c r="E53" s="1" t="s">
        <v>120</v>
      </c>
      <c r="F53" s="1" t="s">
        <v>119</v>
      </c>
      <c r="G53" s="1" t="s">
        <v>103</v>
      </c>
      <c r="H53" s="1" t="s">
        <v>123</v>
      </c>
      <c r="I53" s="7">
        <v>8500</v>
      </c>
      <c r="J53" s="7">
        <v>10500</v>
      </c>
    </row>
    <row r="54" spans="4:10" ht="15" customHeight="1" x14ac:dyDescent="0.35">
      <c r="D54" s="1" t="s">
        <v>239</v>
      </c>
      <c r="E54" s="1" t="s">
        <v>121</v>
      </c>
      <c r="F54" s="1" t="s">
        <v>119</v>
      </c>
      <c r="G54" s="1" t="s">
        <v>103</v>
      </c>
      <c r="H54" s="1" t="s">
        <v>123</v>
      </c>
      <c r="I54" s="7">
        <v>8500</v>
      </c>
      <c r="J54" s="7">
        <v>10500</v>
      </c>
    </row>
    <row r="55" spans="4:10" ht="15" customHeight="1" x14ac:dyDescent="0.35">
      <c r="D55" s="1" t="s">
        <v>240</v>
      </c>
      <c r="E55" s="1" t="s">
        <v>122</v>
      </c>
      <c r="F55" s="1" t="s">
        <v>119</v>
      </c>
      <c r="G55" s="1" t="s">
        <v>103</v>
      </c>
      <c r="H55" s="1" t="s">
        <v>123</v>
      </c>
      <c r="I55" s="7">
        <v>8500</v>
      </c>
      <c r="J55" s="7">
        <v>10500</v>
      </c>
    </row>
    <row r="56" spans="4:10" ht="15" customHeight="1" x14ac:dyDescent="0.35">
      <c r="D56" s="1" t="s">
        <v>241</v>
      </c>
      <c r="E56" s="1" t="s">
        <v>126</v>
      </c>
      <c r="F56" s="1" t="s">
        <v>129</v>
      </c>
      <c r="G56" s="1" t="s">
        <v>130</v>
      </c>
      <c r="H56" s="1" t="s">
        <v>50</v>
      </c>
      <c r="I56" s="7">
        <v>3500</v>
      </c>
      <c r="J56" s="7">
        <v>5000</v>
      </c>
    </row>
    <row r="57" spans="4:10" ht="15" customHeight="1" x14ac:dyDescent="0.35">
      <c r="D57" s="1" t="s">
        <v>242</v>
      </c>
      <c r="E57" s="1" t="s">
        <v>127</v>
      </c>
      <c r="F57" s="1" t="s">
        <v>129</v>
      </c>
      <c r="G57" s="1" t="s">
        <v>130</v>
      </c>
      <c r="H57" s="1" t="s">
        <v>50</v>
      </c>
      <c r="I57" s="7">
        <v>3500</v>
      </c>
      <c r="J57" s="7">
        <v>5000</v>
      </c>
    </row>
    <row r="58" spans="4:10" ht="15" customHeight="1" x14ac:dyDescent="0.35">
      <c r="D58" s="1" t="s">
        <v>243</v>
      </c>
      <c r="E58" s="1" t="s">
        <v>128</v>
      </c>
      <c r="F58" s="1" t="s">
        <v>129</v>
      </c>
      <c r="G58" s="1" t="s">
        <v>130</v>
      </c>
      <c r="H58" s="1" t="s">
        <v>50</v>
      </c>
      <c r="I58" s="7">
        <v>3500</v>
      </c>
      <c r="J58" s="7">
        <v>5000</v>
      </c>
    </row>
    <row r="59" spans="4:10" ht="15" customHeight="1" x14ac:dyDescent="0.35">
      <c r="D59" s="1" t="s">
        <v>244</v>
      </c>
      <c r="E59" s="1" t="s">
        <v>132</v>
      </c>
      <c r="F59" s="1" t="s">
        <v>131</v>
      </c>
      <c r="G59" s="1" t="s">
        <v>130</v>
      </c>
      <c r="H59" s="1" t="s">
        <v>135</v>
      </c>
      <c r="I59" s="7">
        <v>1800</v>
      </c>
      <c r="J59" s="7">
        <v>2500</v>
      </c>
    </row>
    <row r="60" spans="4:10" ht="15" customHeight="1" x14ac:dyDescent="0.35">
      <c r="D60" s="1" t="s">
        <v>245</v>
      </c>
      <c r="E60" s="1" t="s">
        <v>133</v>
      </c>
      <c r="F60" s="1" t="s">
        <v>131</v>
      </c>
      <c r="G60" s="1" t="s">
        <v>130</v>
      </c>
      <c r="H60" s="1" t="s">
        <v>135</v>
      </c>
      <c r="I60" s="7">
        <v>1800</v>
      </c>
      <c r="J60" s="7">
        <v>2500</v>
      </c>
    </row>
    <row r="61" spans="4:10" ht="15" customHeight="1" x14ac:dyDescent="0.35">
      <c r="D61" s="1" t="s">
        <v>246</v>
      </c>
      <c r="E61" s="1" t="s">
        <v>134</v>
      </c>
      <c r="F61" s="1" t="s">
        <v>131</v>
      </c>
      <c r="G61" s="1" t="s">
        <v>130</v>
      </c>
      <c r="H61" s="1" t="s">
        <v>135</v>
      </c>
      <c r="I61" s="7">
        <v>1800</v>
      </c>
      <c r="J61" s="7">
        <v>2500</v>
      </c>
    </row>
    <row r="62" spans="4:10" ht="15" customHeight="1" x14ac:dyDescent="0.35">
      <c r="D62" s="1" t="s">
        <v>247</v>
      </c>
      <c r="E62" s="1" t="s">
        <v>143</v>
      </c>
      <c r="F62" s="1" t="s">
        <v>142</v>
      </c>
      <c r="G62" s="1" t="s">
        <v>141</v>
      </c>
      <c r="H62" s="1" t="s">
        <v>135</v>
      </c>
      <c r="I62" s="7">
        <v>1500</v>
      </c>
      <c r="J62" s="7">
        <v>2300</v>
      </c>
    </row>
    <row r="63" spans="4:10" ht="15" customHeight="1" x14ac:dyDescent="0.35">
      <c r="D63" s="1" t="s">
        <v>248</v>
      </c>
      <c r="E63" s="1" t="s">
        <v>144</v>
      </c>
      <c r="F63" s="1" t="s">
        <v>142</v>
      </c>
      <c r="G63" s="1" t="s">
        <v>141</v>
      </c>
      <c r="H63" s="1" t="s">
        <v>135</v>
      </c>
      <c r="I63" s="7">
        <v>1700</v>
      </c>
      <c r="J63" s="7">
        <v>3000</v>
      </c>
    </row>
    <row r="64" spans="4:10" ht="15" customHeight="1" x14ac:dyDescent="0.35">
      <c r="D64" s="1" t="s">
        <v>249</v>
      </c>
      <c r="E64" s="1" t="s">
        <v>145</v>
      </c>
      <c r="F64" s="1" t="s">
        <v>142</v>
      </c>
      <c r="G64" s="1" t="s">
        <v>141</v>
      </c>
      <c r="H64" s="1" t="s">
        <v>135</v>
      </c>
      <c r="I64" s="7">
        <v>1500</v>
      </c>
      <c r="J64" s="7">
        <v>2300</v>
      </c>
    </row>
    <row r="65" spans="4:10" ht="15" customHeight="1" x14ac:dyDescent="0.35">
      <c r="D65" s="1" t="s">
        <v>250</v>
      </c>
      <c r="E65" s="1" t="s">
        <v>151</v>
      </c>
      <c r="F65" s="1" t="s">
        <v>152</v>
      </c>
      <c r="G65" s="1" t="s">
        <v>153</v>
      </c>
      <c r="H65" s="1" t="s">
        <v>154</v>
      </c>
      <c r="I65" s="7">
        <v>700</v>
      </c>
      <c r="J65" s="7">
        <v>1500</v>
      </c>
    </row>
  </sheetData>
  <mergeCells count="1">
    <mergeCell ref="L4:M4"/>
  </mergeCells>
  <phoneticPr fontId="3" type="noConversion"/>
  <conditionalFormatting sqref="D4:J65">
    <cfRule type="expression" dxfId="69" priority="12">
      <formula>COUNTIFS($G$5:$G$65,$G$5,$F$5:$F$65,$F$5,$E$5:$E$65,$E$5,$H$5:$H$65,$H$5)&gt;1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B5239C4-B859-465D-9A8F-6234DF54503C}">
          <x14:formula1>
            <xm:f>_xlfn.ANCHORARRAY('Helper Sheet'!$A$17)</xm:f>
          </x14:formula1>
          <xm:sqref>M6</xm:sqref>
        </x14:dataValidation>
        <x14:dataValidation type="list" allowBlank="1" showInputMessage="1" showErrorMessage="1" xr:uid="{EDC69210-28CD-415D-9A91-5C95FDB46BA5}">
          <x14:formula1>
            <xm:f>_xlfn.ANCHORARRAY('Helper Sheet'!$D$17)</xm:f>
          </x14:formula1>
          <xm:sqref>M7</xm:sqref>
        </x14:dataValidation>
        <x14:dataValidation type="list" allowBlank="1" showInputMessage="1" showErrorMessage="1" xr:uid="{8F4D899A-0468-4864-9A7A-7085C35C00F6}">
          <x14:formula1>
            <xm:f>_xlfn.ANCHORARRAY('Helper Sheet'!$F$17)</xm:f>
          </x14:formula1>
          <xm:sqref>M8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584D7-2C46-4F6A-B666-9F902BA591C9}">
  <sheetPr codeName="Sheet5"/>
  <dimension ref="D4:N46"/>
  <sheetViews>
    <sheetView zoomScale="90" workbookViewId="0">
      <selection activeCell="P20" sqref="P20"/>
    </sheetView>
  </sheetViews>
  <sheetFormatPr defaultRowHeight="15" customHeight="1" x14ac:dyDescent="0.35"/>
  <cols>
    <col min="1" max="1" width="8.7265625" style="1"/>
    <col min="2" max="2" width="17.7265625" style="1" customWidth="1"/>
    <col min="3" max="3" width="4.1796875" style="1" customWidth="1"/>
    <col min="4" max="4" width="10.453125" style="1" bestFit="1" customWidth="1"/>
    <col min="5" max="5" width="13.7265625" style="1" customWidth="1"/>
    <col min="6" max="6" width="15.36328125" style="1" customWidth="1"/>
    <col min="7" max="7" width="18.81640625" style="1" customWidth="1"/>
    <col min="8" max="8" width="9.90625" style="1" customWidth="1"/>
    <col min="9" max="9" width="11.7265625" style="1" customWidth="1"/>
    <col min="10" max="10" width="14.36328125" style="1" customWidth="1"/>
    <col min="11" max="11" width="6.81640625" style="1" customWidth="1"/>
    <col min="12" max="13" width="11.26953125" style="1" customWidth="1"/>
    <col min="14" max="14" width="23.81640625" style="1" hidden="1" customWidth="1"/>
    <col min="15" max="16384" width="8.7265625" style="1"/>
  </cols>
  <sheetData>
    <row r="4" spans="4:14" ht="15" customHeight="1" x14ac:dyDescent="0.35">
      <c r="D4" s="2" t="s">
        <v>5</v>
      </c>
      <c r="E4" s="2" t="s">
        <v>9</v>
      </c>
      <c r="F4" s="2" t="s">
        <v>1</v>
      </c>
      <c r="G4" s="2" t="s">
        <v>0</v>
      </c>
      <c r="H4" s="2" t="s">
        <v>10</v>
      </c>
      <c r="I4" s="2" t="s">
        <v>6</v>
      </c>
      <c r="J4" s="2" t="s">
        <v>14</v>
      </c>
      <c r="K4" s="2" t="s">
        <v>12</v>
      </c>
      <c r="L4" s="2" t="s">
        <v>15</v>
      </c>
      <c r="M4" s="2" t="s">
        <v>16</v>
      </c>
      <c r="N4" s="2" t="s">
        <v>161</v>
      </c>
    </row>
    <row r="5" spans="4:14" ht="15" customHeight="1" x14ac:dyDescent="0.35">
      <c r="D5" s="5">
        <v>46090</v>
      </c>
      <c r="E5" s="1" t="s">
        <v>130</v>
      </c>
      <c r="F5" s="1" t="s">
        <v>131</v>
      </c>
      <c r="G5" s="1" t="s">
        <v>133</v>
      </c>
      <c r="H5" s="1" t="s">
        <v>135</v>
      </c>
      <c r="I5" s="1" t="s">
        <v>245</v>
      </c>
      <c r="J5" s="1" t="s">
        <v>189</v>
      </c>
      <c r="K5" s="7">
        <v>14</v>
      </c>
      <c r="L5" s="7">
        <v>1800</v>
      </c>
      <c r="M5" s="7">
        <v>25200</v>
      </c>
      <c r="N5" s="10">
        <v>46090.41804675926</v>
      </c>
    </row>
    <row r="6" spans="4:14" ht="15" customHeight="1" x14ac:dyDescent="0.35">
      <c r="D6" s="5">
        <v>46081</v>
      </c>
      <c r="E6" s="1" t="s">
        <v>41</v>
      </c>
      <c r="F6" s="1" t="s">
        <v>57</v>
      </c>
      <c r="G6" s="1" t="s">
        <v>55</v>
      </c>
      <c r="H6" s="1" t="s">
        <v>42</v>
      </c>
      <c r="I6" s="1" t="s">
        <v>207</v>
      </c>
      <c r="J6" s="1" t="s">
        <v>175</v>
      </c>
      <c r="K6" s="7">
        <v>24</v>
      </c>
      <c r="L6" s="7">
        <v>2700</v>
      </c>
      <c r="M6" s="7">
        <v>64800</v>
      </c>
      <c r="N6" s="10">
        <v>46088.482128240743</v>
      </c>
    </row>
    <row r="7" spans="4:14" ht="15" customHeight="1" x14ac:dyDescent="0.35">
      <c r="D7" s="5">
        <v>46081</v>
      </c>
      <c r="E7" s="1" t="s">
        <v>41</v>
      </c>
      <c r="F7" s="1" t="s">
        <v>57</v>
      </c>
      <c r="G7" s="1" t="s">
        <v>55</v>
      </c>
      <c r="H7" s="1" t="s">
        <v>42</v>
      </c>
      <c r="I7" s="1" t="s">
        <v>60</v>
      </c>
      <c r="J7" s="1" t="s">
        <v>175</v>
      </c>
      <c r="K7" s="7">
        <v>2</v>
      </c>
      <c r="L7" s="7">
        <v>2700</v>
      </c>
      <c r="M7" s="7">
        <v>5400</v>
      </c>
      <c r="N7" s="10">
        <v>46082.305590509262</v>
      </c>
    </row>
    <row r="8" spans="4:14" ht="15" customHeight="1" x14ac:dyDescent="0.35">
      <c r="D8" s="5">
        <v>46081</v>
      </c>
      <c r="E8" s="1" t="s">
        <v>130</v>
      </c>
      <c r="F8" s="1" t="s">
        <v>129</v>
      </c>
      <c r="G8" s="1" t="s">
        <v>127</v>
      </c>
      <c r="H8" s="1" t="s">
        <v>50</v>
      </c>
      <c r="I8" s="1" t="s">
        <v>136</v>
      </c>
      <c r="J8" s="1" t="s">
        <v>175</v>
      </c>
      <c r="K8" s="7">
        <v>18</v>
      </c>
      <c r="L8" s="7">
        <v>3500</v>
      </c>
      <c r="M8" s="7">
        <v>63000</v>
      </c>
      <c r="N8" s="10">
        <v>46081.336670254626</v>
      </c>
    </row>
    <row r="9" spans="4:14" ht="15" customHeight="1" x14ac:dyDescent="0.35">
      <c r="D9" s="5">
        <v>46081</v>
      </c>
      <c r="E9" s="1" t="s">
        <v>130</v>
      </c>
      <c r="F9" s="1" t="s">
        <v>129</v>
      </c>
      <c r="G9" s="1" t="s">
        <v>128</v>
      </c>
      <c r="H9" s="1" t="s">
        <v>50</v>
      </c>
      <c r="I9" s="1" t="s">
        <v>137</v>
      </c>
      <c r="J9" s="1" t="s">
        <v>175</v>
      </c>
      <c r="K9" s="7">
        <v>18</v>
      </c>
      <c r="L9" s="7">
        <v>3500</v>
      </c>
      <c r="M9" s="7">
        <v>63000</v>
      </c>
      <c r="N9" s="10">
        <v>46081.33659791667</v>
      </c>
    </row>
    <row r="10" spans="4:14" ht="15" customHeight="1" x14ac:dyDescent="0.35">
      <c r="D10" s="5">
        <v>46081</v>
      </c>
      <c r="E10" s="1" t="s">
        <v>153</v>
      </c>
      <c r="F10" s="1" t="s">
        <v>152</v>
      </c>
      <c r="G10" s="1" t="s">
        <v>151</v>
      </c>
      <c r="H10" s="1" t="s">
        <v>154</v>
      </c>
      <c r="I10" s="1" t="s">
        <v>150</v>
      </c>
      <c r="J10" s="1" t="s">
        <v>175</v>
      </c>
      <c r="K10" s="7">
        <v>18</v>
      </c>
      <c r="L10" s="7">
        <v>700</v>
      </c>
      <c r="M10" s="7">
        <v>12600</v>
      </c>
      <c r="N10" s="10">
        <v>46081.336358333334</v>
      </c>
    </row>
    <row r="11" spans="4:14" ht="15" customHeight="1" x14ac:dyDescent="0.35">
      <c r="D11" s="5">
        <v>46081</v>
      </c>
      <c r="E11" s="1" t="s">
        <v>75</v>
      </c>
      <c r="F11" s="1" t="s">
        <v>49</v>
      </c>
      <c r="G11" s="1" t="s">
        <v>73</v>
      </c>
      <c r="H11" s="1" t="s">
        <v>76</v>
      </c>
      <c r="I11" s="1" t="s">
        <v>78</v>
      </c>
      <c r="J11" s="1" t="s">
        <v>175</v>
      </c>
      <c r="K11" s="7">
        <v>18</v>
      </c>
      <c r="L11" s="7">
        <v>5700</v>
      </c>
      <c r="M11" s="7">
        <v>102600</v>
      </c>
      <c r="N11" s="10">
        <v>46081.335402777775</v>
      </c>
    </row>
    <row r="12" spans="4:14" ht="15" customHeight="1" x14ac:dyDescent="0.35">
      <c r="D12" s="5">
        <v>46081</v>
      </c>
      <c r="E12" s="1" t="s">
        <v>75</v>
      </c>
      <c r="F12" s="1" t="s">
        <v>49</v>
      </c>
      <c r="G12" s="1" t="s">
        <v>72</v>
      </c>
      <c r="H12" s="1" t="s">
        <v>76</v>
      </c>
      <c r="I12" s="1" t="s">
        <v>79</v>
      </c>
      <c r="J12" s="1" t="s">
        <v>175</v>
      </c>
      <c r="K12" s="7">
        <v>24</v>
      </c>
      <c r="L12" s="7">
        <v>4500</v>
      </c>
      <c r="M12" s="7">
        <v>108000</v>
      </c>
      <c r="N12" s="10">
        <v>46081.335236921295</v>
      </c>
    </row>
    <row r="13" spans="4:14" ht="15" customHeight="1" x14ac:dyDescent="0.35">
      <c r="D13" s="5">
        <v>46081</v>
      </c>
      <c r="E13" s="1" t="s">
        <v>75</v>
      </c>
      <c r="F13" s="1" t="s">
        <v>49</v>
      </c>
      <c r="G13" s="1" t="s">
        <v>70</v>
      </c>
      <c r="H13" s="1" t="s">
        <v>76</v>
      </c>
      <c r="I13" s="1" t="s">
        <v>77</v>
      </c>
      <c r="J13" s="1" t="s">
        <v>175</v>
      </c>
      <c r="K13" s="7">
        <v>22</v>
      </c>
      <c r="L13" s="7">
        <v>6500</v>
      </c>
      <c r="M13" s="7">
        <v>143000</v>
      </c>
      <c r="N13" s="10">
        <v>46081.335092013891</v>
      </c>
    </row>
    <row r="14" spans="4:14" ht="15" customHeight="1" x14ac:dyDescent="0.35">
      <c r="D14" s="5">
        <v>46081</v>
      </c>
      <c r="E14" s="1" t="s">
        <v>75</v>
      </c>
      <c r="F14" s="1" t="s">
        <v>84</v>
      </c>
      <c r="G14" s="1" t="s">
        <v>82</v>
      </c>
      <c r="H14" s="1" t="s">
        <v>76</v>
      </c>
      <c r="I14" s="1" t="s">
        <v>87</v>
      </c>
      <c r="J14" s="1" t="s">
        <v>174</v>
      </c>
      <c r="K14" s="7">
        <v>10</v>
      </c>
      <c r="L14" s="7">
        <v>9500</v>
      </c>
      <c r="M14" s="7">
        <v>95000</v>
      </c>
      <c r="N14" s="10">
        <v>46081.334676273145</v>
      </c>
    </row>
    <row r="15" spans="4:14" ht="15" customHeight="1" x14ac:dyDescent="0.35">
      <c r="D15" s="5">
        <v>46081</v>
      </c>
      <c r="E15" s="1" t="s">
        <v>75</v>
      </c>
      <c r="F15" s="1" t="s">
        <v>84</v>
      </c>
      <c r="G15" s="1" t="s">
        <v>81</v>
      </c>
      <c r="H15" s="1" t="s">
        <v>76</v>
      </c>
      <c r="I15" s="1" t="s">
        <v>86</v>
      </c>
      <c r="J15" s="1" t="s">
        <v>174</v>
      </c>
      <c r="K15" s="7">
        <v>10</v>
      </c>
      <c r="L15" s="7">
        <v>12000</v>
      </c>
      <c r="M15" s="7">
        <v>120000</v>
      </c>
      <c r="N15" s="10">
        <v>46081.334557870374</v>
      </c>
    </row>
    <row r="16" spans="4:14" ht="15" customHeight="1" x14ac:dyDescent="0.35">
      <c r="D16" s="5">
        <v>46081</v>
      </c>
      <c r="E16" s="1" t="s">
        <v>75</v>
      </c>
      <c r="F16" s="1" t="s">
        <v>84</v>
      </c>
      <c r="G16" s="1" t="s">
        <v>80</v>
      </c>
      <c r="H16" s="1" t="s">
        <v>76</v>
      </c>
      <c r="I16" s="1" t="s">
        <v>85</v>
      </c>
      <c r="J16" s="1" t="s">
        <v>174</v>
      </c>
      <c r="K16" s="7">
        <v>20</v>
      </c>
      <c r="L16" s="7">
        <v>15000</v>
      </c>
      <c r="M16" s="7">
        <v>300000</v>
      </c>
      <c r="N16" s="10">
        <v>46081.334286921294</v>
      </c>
    </row>
    <row r="17" spans="4:14" ht="15" customHeight="1" x14ac:dyDescent="0.35">
      <c r="D17" s="5">
        <v>46081</v>
      </c>
      <c r="E17" s="1" t="s">
        <v>75</v>
      </c>
      <c r="F17" s="1" t="s">
        <v>93</v>
      </c>
      <c r="G17" s="1" t="s">
        <v>88</v>
      </c>
      <c r="H17" s="1" t="s">
        <v>76</v>
      </c>
      <c r="I17" s="1" t="s">
        <v>94</v>
      </c>
      <c r="J17" s="1" t="s">
        <v>173</v>
      </c>
      <c r="K17" s="7">
        <v>8</v>
      </c>
      <c r="L17" s="7">
        <v>6500</v>
      </c>
      <c r="M17" s="7">
        <v>52000</v>
      </c>
      <c r="N17" s="10">
        <v>46081.333811458331</v>
      </c>
    </row>
    <row r="18" spans="4:14" ht="15" customHeight="1" x14ac:dyDescent="0.35">
      <c r="D18" s="5">
        <v>46081</v>
      </c>
      <c r="E18" s="1" t="s">
        <v>75</v>
      </c>
      <c r="F18" s="1" t="s">
        <v>93</v>
      </c>
      <c r="G18" s="1" t="s">
        <v>92</v>
      </c>
      <c r="H18" s="1" t="s">
        <v>76</v>
      </c>
      <c r="I18" s="1" t="s">
        <v>97</v>
      </c>
      <c r="J18" s="1" t="s">
        <v>173</v>
      </c>
      <c r="K18" s="7">
        <v>8</v>
      </c>
      <c r="L18" s="7">
        <v>5800</v>
      </c>
      <c r="M18" s="7">
        <v>46400</v>
      </c>
      <c r="N18" s="10">
        <v>46081.3337068287</v>
      </c>
    </row>
    <row r="19" spans="4:14" ht="15" customHeight="1" x14ac:dyDescent="0.35">
      <c r="D19" s="5">
        <v>46081</v>
      </c>
      <c r="E19" s="1" t="s">
        <v>75</v>
      </c>
      <c r="F19" s="1" t="s">
        <v>93</v>
      </c>
      <c r="G19" s="1" t="s">
        <v>90</v>
      </c>
      <c r="H19" s="1" t="s">
        <v>76</v>
      </c>
      <c r="I19" s="1" t="s">
        <v>96</v>
      </c>
      <c r="J19" s="1" t="s">
        <v>173</v>
      </c>
      <c r="K19" s="7">
        <v>18</v>
      </c>
      <c r="L19" s="7">
        <v>6000</v>
      </c>
      <c r="M19" s="7">
        <v>108000</v>
      </c>
      <c r="N19" s="10">
        <v>46081.333432407409</v>
      </c>
    </row>
    <row r="20" spans="4:14" ht="15" customHeight="1" x14ac:dyDescent="0.35">
      <c r="D20" s="5">
        <v>46081</v>
      </c>
      <c r="E20" s="1" t="s">
        <v>75</v>
      </c>
      <c r="F20" s="1" t="s">
        <v>93</v>
      </c>
      <c r="G20" s="1" t="s">
        <v>89</v>
      </c>
      <c r="H20" s="1" t="s">
        <v>76</v>
      </c>
      <c r="I20" s="1" t="s">
        <v>95</v>
      </c>
      <c r="J20" s="1" t="s">
        <v>173</v>
      </c>
      <c r="K20" s="7">
        <v>20</v>
      </c>
      <c r="L20" s="7">
        <v>7500</v>
      </c>
      <c r="M20" s="7">
        <v>150000</v>
      </c>
      <c r="N20" s="10">
        <v>46081.333269907409</v>
      </c>
    </row>
    <row r="21" spans="4:14" ht="15" customHeight="1" x14ac:dyDescent="0.35">
      <c r="D21" s="5">
        <v>46081</v>
      </c>
      <c r="E21" s="1" t="s">
        <v>130</v>
      </c>
      <c r="F21" s="1" t="s">
        <v>131</v>
      </c>
      <c r="G21" s="1" t="s">
        <v>132</v>
      </c>
      <c r="H21" s="1" t="s">
        <v>135</v>
      </c>
      <c r="I21" s="1" t="s">
        <v>138</v>
      </c>
      <c r="J21" s="1" t="s">
        <v>168</v>
      </c>
      <c r="K21" s="7">
        <v>20</v>
      </c>
      <c r="L21" s="7">
        <v>1800</v>
      </c>
      <c r="M21" s="7">
        <v>36000</v>
      </c>
      <c r="N21" s="10">
        <v>46081.33278715278</v>
      </c>
    </row>
    <row r="22" spans="4:14" ht="15" customHeight="1" x14ac:dyDescent="0.35">
      <c r="D22" s="5">
        <v>46081</v>
      </c>
      <c r="E22" s="1" t="s">
        <v>130</v>
      </c>
      <c r="F22" s="1" t="s">
        <v>131</v>
      </c>
      <c r="G22" s="1" t="s">
        <v>134</v>
      </c>
      <c r="H22" s="1" t="s">
        <v>135</v>
      </c>
      <c r="I22" s="1" t="s">
        <v>140</v>
      </c>
      <c r="J22" s="1" t="s">
        <v>168</v>
      </c>
      <c r="K22" s="7">
        <v>24</v>
      </c>
      <c r="L22" s="7">
        <v>1800</v>
      </c>
      <c r="M22" s="7">
        <v>43200</v>
      </c>
      <c r="N22" s="10">
        <v>46081.332675578706</v>
      </c>
    </row>
    <row r="23" spans="4:14" ht="15" customHeight="1" x14ac:dyDescent="0.35">
      <c r="D23" s="5">
        <v>46081</v>
      </c>
      <c r="E23" s="1" t="s">
        <v>130</v>
      </c>
      <c r="F23" s="1" t="s">
        <v>131</v>
      </c>
      <c r="G23" s="1" t="s">
        <v>133</v>
      </c>
      <c r="H23" s="1" t="s">
        <v>135</v>
      </c>
      <c r="I23" s="1" t="s">
        <v>139</v>
      </c>
      <c r="J23" s="1" t="s">
        <v>168</v>
      </c>
      <c r="K23" s="7">
        <v>24</v>
      </c>
      <c r="L23" s="7">
        <v>1800</v>
      </c>
      <c r="M23" s="7">
        <v>43200</v>
      </c>
      <c r="N23" s="10">
        <v>46081.332591203703</v>
      </c>
    </row>
    <row r="24" spans="4:14" ht="15" customHeight="1" x14ac:dyDescent="0.35">
      <c r="D24" s="5">
        <v>46081</v>
      </c>
      <c r="E24" s="1" t="s">
        <v>41</v>
      </c>
      <c r="F24" s="1" t="s">
        <v>49</v>
      </c>
      <c r="G24" s="1" t="s">
        <v>44</v>
      </c>
      <c r="H24" s="1" t="s">
        <v>50</v>
      </c>
      <c r="I24" s="1" t="s">
        <v>31</v>
      </c>
      <c r="J24" s="1" t="s">
        <v>166</v>
      </c>
      <c r="K24" s="7">
        <v>22</v>
      </c>
      <c r="L24" s="7">
        <v>5500</v>
      </c>
      <c r="M24" s="7">
        <v>121000</v>
      </c>
      <c r="N24" s="10">
        <v>46081.332034837964</v>
      </c>
    </row>
    <row r="25" spans="4:14" ht="15" customHeight="1" x14ac:dyDescent="0.35">
      <c r="D25" s="5">
        <v>46081</v>
      </c>
      <c r="E25" s="1" t="s">
        <v>41</v>
      </c>
      <c r="F25" s="1" t="s">
        <v>49</v>
      </c>
      <c r="G25" s="1" t="s">
        <v>48</v>
      </c>
      <c r="H25" s="1" t="s">
        <v>50</v>
      </c>
      <c r="I25" s="1" t="s">
        <v>51</v>
      </c>
      <c r="J25" s="1" t="s">
        <v>166</v>
      </c>
      <c r="K25" s="7">
        <v>14</v>
      </c>
      <c r="L25" s="7">
        <v>3500</v>
      </c>
      <c r="M25" s="7">
        <v>49000</v>
      </c>
      <c r="N25" s="10">
        <v>46081.331831597221</v>
      </c>
    </row>
    <row r="26" spans="4:14" ht="15" customHeight="1" x14ac:dyDescent="0.35">
      <c r="D26" s="5">
        <v>46081</v>
      </c>
      <c r="E26" s="1" t="s">
        <v>41</v>
      </c>
      <c r="F26" s="1" t="s">
        <v>57</v>
      </c>
      <c r="G26" s="1" t="s">
        <v>56</v>
      </c>
      <c r="H26" s="1" t="s">
        <v>42</v>
      </c>
      <c r="I26" s="1" t="s">
        <v>61</v>
      </c>
      <c r="J26" s="1" t="s">
        <v>172</v>
      </c>
      <c r="K26" s="7">
        <v>14</v>
      </c>
      <c r="L26" s="7">
        <v>2700</v>
      </c>
      <c r="M26" s="7">
        <v>37800</v>
      </c>
      <c r="N26" s="10">
        <v>46081.330560069444</v>
      </c>
    </row>
    <row r="27" spans="4:14" ht="15" customHeight="1" x14ac:dyDescent="0.35">
      <c r="D27" s="5">
        <v>46081</v>
      </c>
      <c r="E27" s="1" t="s">
        <v>41</v>
      </c>
      <c r="F27" s="1" t="s">
        <v>57</v>
      </c>
      <c r="G27" s="1" t="s">
        <v>53</v>
      </c>
      <c r="H27" s="1" t="s">
        <v>42</v>
      </c>
      <c r="I27" s="1" t="s">
        <v>59</v>
      </c>
      <c r="J27" s="1" t="s">
        <v>172</v>
      </c>
      <c r="K27" s="7">
        <v>10</v>
      </c>
      <c r="L27" s="7">
        <v>2700</v>
      </c>
      <c r="M27" s="7">
        <v>27000</v>
      </c>
      <c r="N27" s="10">
        <v>46081.33032789352</v>
      </c>
    </row>
    <row r="28" spans="4:14" ht="15" customHeight="1" x14ac:dyDescent="0.35">
      <c r="D28" s="5">
        <v>46081</v>
      </c>
      <c r="E28" s="1" t="s">
        <v>41</v>
      </c>
      <c r="F28" s="1" t="s">
        <v>57</v>
      </c>
      <c r="G28" s="1" t="s">
        <v>52</v>
      </c>
      <c r="H28" s="1" t="s">
        <v>42</v>
      </c>
      <c r="I28" s="1" t="s">
        <v>58</v>
      </c>
      <c r="J28" s="1" t="s">
        <v>172</v>
      </c>
      <c r="K28" s="7">
        <v>20</v>
      </c>
      <c r="L28" s="7">
        <v>2700</v>
      </c>
      <c r="M28" s="7">
        <v>54000</v>
      </c>
      <c r="N28" s="10">
        <v>46081.330165509258</v>
      </c>
    </row>
    <row r="29" spans="4:14" ht="15" customHeight="1" x14ac:dyDescent="0.35">
      <c r="D29" s="5">
        <v>46081</v>
      </c>
      <c r="E29" s="1" t="s">
        <v>41</v>
      </c>
      <c r="F29" s="1" t="s">
        <v>66</v>
      </c>
      <c r="G29" s="1" t="s">
        <v>62</v>
      </c>
      <c r="H29" s="1" t="s">
        <v>42</v>
      </c>
      <c r="I29" s="1" t="s">
        <v>67</v>
      </c>
      <c r="J29" s="1" t="s">
        <v>171</v>
      </c>
      <c r="K29" s="7">
        <v>20</v>
      </c>
      <c r="L29" s="7">
        <v>2800</v>
      </c>
      <c r="M29" s="7">
        <v>56000</v>
      </c>
      <c r="N29" s="10">
        <v>46081.328558449073</v>
      </c>
    </row>
    <row r="30" spans="4:14" ht="15" customHeight="1" x14ac:dyDescent="0.35">
      <c r="D30" s="5">
        <v>46081</v>
      </c>
      <c r="E30" s="1" t="s">
        <v>41</v>
      </c>
      <c r="F30" s="1" t="s">
        <v>66</v>
      </c>
      <c r="G30" s="1" t="s">
        <v>64</v>
      </c>
      <c r="H30" s="1" t="s">
        <v>42</v>
      </c>
      <c r="I30" s="1" t="s">
        <v>68</v>
      </c>
      <c r="J30" s="1" t="s">
        <v>171</v>
      </c>
      <c r="K30" s="7">
        <v>10</v>
      </c>
      <c r="L30" s="7">
        <v>2800</v>
      </c>
      <c r="M30" s="7">
        <v>28000</v>
      </c>
      <c r="N30" s="10">
        <v>46081.328358796294</v>
      </c>
    </row>
    <row r="31" spans="4:14" ht="15" customHeight="1" x14ac:dyDescent="0.35">
      <c r="D31" s="5">
        <v>46081</v>
      </c>
      <c r="E31" s="1" t="s">
        <v>41</v>
      </c>
      <c r="F31" s="1" t="s">
        <v>66</v>
      </c>
      <c r="G31" s="1" t="s">
        <v>65</v>
      </c>
      <c r="H31" s="1" t="s">
        <v>42</v>
      </c>
      <c r="I31" s="1" t="s">
        <v>69</v>
      </c>
      <c r="J31" s="1" t="s">
        <v>171</v>
      </c>
      <c r="K31" s="7">
        <v>20</v>
      </c>
      <c r="L31" s="7">
        <v>2800</v>
      </c>
      <c r="M31" s="7">
        <v>56000</v>
      </c>
      <c r="N31" s="10">
        <v>46081.328202430559</v>
      </c>
    </row>
    <row r="32" spans="4:14" ht="15" customHeight="1" x14ac:dyDescent="0.35">
      <c r="D32" s="5">
        <v>46081</v>
      </c>
      <c r="E32" s="1" t="s">
        <v>41</v>
      </c>
      <c r="F32" s="1" t="s">
        <v>32</v>
      </c>
      <c r="G32" s="1" t="s">
        <v>38</v>
      </c>
      <c r="H32" s="1" t="s">
        <v>42</v>
      </c>
      <c r="I32" s="1" t="s">
        <v>28</v>
      </c>
      <c r="J32" s="1" t="s">
        <v>168</v>
      </c>
      <c r="K32" s="7">
        <v>20</v>
      </c>
      <c r="L32" s="7">
        <v>3000</v>
      </c>
      <c r="M32" s="7">
        <v>60000</v>
      </c>
      <c r="N32" s="10">
        <v>46081.327799652776</v>
      </c>
    </row>
    <row r="33" spans="4:14" ht="15" customHeight="1" x14ac:dyDescent="0.35">
      <c r="D33" s="5">
        <v>46081</v>
      </c>
      <c r="E33" s="1" t="s">
        <v>41</v>
      </c>
      <c r="F33" s="1" t="s">
        <v>32</v>
      </c>
      <c r="G33" s="1" t="s">
        <v>39</v>
      </c>
      <c r="H33" s="1" t="s">
        <v>42</v>
      </c>
      <c r="I33" s="1" t="s">
        <v>29</v>
      </c>
      <c r="J33" s="1" t="s">
        <v>168</v>
      </c>
      <c r="K33" s="7">
        <v>30</v>
      </c>
      <c r="L33" s="7">
        <v>3000</v>
      </c>
      <c r="M33" s="7">
        <v>90000</v>
      </c>
      <c r="N33" s="10">
        <v>46081.327481018518</v>
      </c>
    </row>
    <row r="34" spans="4:14" ht="15" customHeight="1" x14ac:dyDescent="0.35">
      <c r="D34" s="5">
        <v>46081</v>
      </c>
      <c r="E34" s="1" t="s">
        <v>41</v>
      </c>
      <c r="F34" s="1" t="s">
        <v>32</v>
      </c>
      <c r="G34" s="1" t="s">
        <v>35</v>
      </c>
      <c r="H34" s="1" t="s">
        <v>42</v>
      </c>
      <c r="I34" s="1" t="s">
        <v>26</v>
      </c>
      <c r="J34" s="1" t="s">
        <v>168</v>
      </c>
      <c r="K34" s="7">
        <v>15</v>
      </c>
      <c r="L34" s="7">
        <v>3000</v>
      </c>
      <c r="M34" s="7">
        <v>45000</v>
      </c>
      <c r="N34" s="10">
        <v>46081.32728287037</v>
      </c>
    </row>
    <row r="35" spans="4:14" ht="15" customHeight="1" x14ac:dyDescent="0.35">
      <c r="D35" s="5">
        <v>46081</v>
      </c>
      <c r="E35" s="1" t="s">
        <v>41</v>
      </c>
      <c r="F35" s="1" t="s">
        <v>32</v>
      </c>
      <c r="G35" s="1" t="s">
        <v>40</v>
      </c>
      <c r="H35" s="1" t="s">
        <v>42</v>
      </c>
      <c r="I35" s="1" t="s">
        <v>30</v>
      </c>
      <c r="J35" s="1" t="s">
        <v>168</v>
      </c>
      <c r="K35" s="7">
        <v>24</v>
      </c>
      <c r="L35" s="7">
        <v>3000</v>
      </c>
      <c r="M35" s="7">
        <v>72000</v>
      </c>
      <c r="N35" s="10">
        <v>46081.327053703702</v>
      </c>
    </row>
    <row r="36" spans="4:14" ht="15" customHeight="1" x14ac:dyDescent="0.35">
      <c r="D36" s="5">
        <v>46081</v>
      </c>
      <c r="E36" s="1" t="s">
        <v>41</v>
      </c>
      <c r="F36" s="1" t="s">
        <v>32</v>
      </c>
      <c r="G36" s="1" t="s">
        <v>36</v>
      </c>
      <c r="H36" s="1" t="s">
        <v>42</v>
      </c>
      <c r="I36" s="1" t="s">
        <v>27</v>
      </c>
      <c r="J36" s="1" t="s">
        <v>168</v>
      </c>
      <c r="K36" s="7">
        <v>14</v>
      </c>
      <c r="L36" s="7">
        <v>3000</v>
      </c>
      <c r="M36" s="7">
        <v>42000</v>
      </c>
      <c r="N36" s="10">
        <v>46081.326695601849</v>
      </c>
    </row>
    <row r="37" spans="4:14" ht="15" customHeight="1" x14ac:dyDescent="0.35">
      <c r="D37" s="5">
        <v>46081</v>
      </c>
      <c r="E37" s="1" t="s">
        <v>103</v>
      </c>
      <c r="F37" s="1" t="s">
        <v>119</v>
      </c>
      <c r="G37" s="1" t="s">
        <v>122</v>
      </c>
      <c r="H37" s="1" t="s">
        <v>123</v>
      </c>
      <c r="I37" s="1" t="s">
        <v>125</v>
      </c>
      <c r="J37" s="1" t="s">
        <v>170</v>
      </c>
      <c r="K37" s="7">
        <v>24</v>
      </c>
      <c r="L37" s="7">
        <v>8500</v>
      </c>
      <c r="M37" s="7">
        <v>204000</v>
      </c>
      <c r="N37" s="10">
        <v>46081.326299189815</v>
      </c>
    </row>
    <row r="38" spans="4:14" ht="15" customHeight="1" x14ac:dyDescent="0.35">
      <c r="D38" s="5">
        <v>46081</v>
      </c>
      <c r="E38" s="1" t="s">
        <v>103</v>
      </c>
      <c r="F38" s="1" t="s">
        <v>119</v>
      </c>
      <c r="G38" s="1" t="s">
        <v>120</v>
      </c>
      <c r="H38" s="1" t="s">
        <v>123</v>
      </c>
      <c r="I38" s="1" t="s">
        <v>124</v>
      </c>
      <c r="J38" s="1" t="s">
        <v>169</v>
      </c>
      <c r="K38" s="7">
        <v>14</v>
      </c>
      <c r="L38" s="7">
        <v>8500</v>
      </c>
      <c r="M38" s="7">
        <v>119000</v>
      </c>
      <c r="N38" s="10">
        <v>46081.325616782407</v>
      </c>
    </row>
    <row r="39" spans="4:14" ht="15" customHeight="1" x14ac:dyDescent="0.35">
      <c r="D39" s="5">
        <v>46081</v>
      </c>
      <c r="E39" s="1" t="s">
        <v>103</v>
      </c>
      <c r="F39" s="1" t="s">
        <v>119</v>
      </c>
      <c r="G39" s="1" t="s">
        <v>122</v>
      </c>
      <c r="H39" s="1" t="s">
        <v>123</v>
      </c>
      <c r="I39" s="1" t="s">
        <v>125</v>
      </c>
      <c r="J39" s="1" t="s">
        <v>168</v>
      </c>
      <c r="K39" s="7">
        <v>10</v>
      </c>
      <c r="L39" s="7">
        <v>8500</v>
      </c>
      <c r="M39" s="7">
        <v>85000</v>
      </c>
      <c r="N39" s="10">
        <v>46081.325343055556</v>
      </c>
    </row>
    <row r="40" spans="4:14" ht="15" customHeight="1" x14ac:dyDescent="0.35">
      <c r="D40" s="5">
        <v>46081</v>
      </c>
      <c r="E40" s="1" t="s">
        <v>103</v>
      </c>
      <c r="F40" s="1" t="s">
        <v>116</v>
      </c>
      <c r="G40" s="1" t="s">
        <v>115</v>
      </c>
      <c r="H40" s="1" t="s">
        <v>108</v>
      </c>
      <c r="I40" s="1" t="s">
        <v>118</v>
      </c>
      <c r="J40" s="1" t="s">
        <v>167</v>
      </c>
      <c r="K40" s="7">
        <v>20</v>
      </c>
      <c r="L40" s="7">
        <v>3200</v>
      </c>
      <c r="M40" s="7">
        <v>64000</v>
      </c>
      <c r="N40" s="10">
        <v>46081.324638310187</v>
      </c>
    </row>
    <row r="41" spans="4:14" ht="15" customHeight="1" x14ac:dyDescent="0.35">
      <c r="D41" s="5">
        <v>46081</v>
      </c>
      <c r="E41" s="1" t="s">
        <v>103</v>
      </c>
      <c r="F41" s="1" t="s">
        <v>116</v>
      </c>
      <c r="G41" s="1" t="s">
        <v>113</v>
      </c>
      <c r="H41" s="1" t="s">
        <v>108</v>
      </c>
      <c r="I41" s="1" t="s">
        <v>117</v>
      </c>
      <c r="J41" s="1" t="s">
        <v>166</v>
      </c>
      <c r="K41" s="7">
        <v>30</v>
      </c>
      <c r="L41" s="7">
        <v>3200</v>
      </c>
      <c r="M41" s="7">
        <v>96000</v>
      </c>
      <c r="N41" s="10">
        <v>46081.32430601852</v>
      </c>
    </row>
    <row r="42" spans="4:14" ht="15" customHeight="1" x14ac:dyDescent="0.35">
      <c r="D42" s="5">
        <v>46081</v>
      </c>
      <c r="E42" s="1" t="s">
        <v>103</v>
      </c>
      <c r="F42" s="1" t="s">
        <v>32</v>
      </c>
      <c r="G42" s="1" t="s">
        <v>39</v>
      </c>
      <c r="H42" s="1" t="s">
        <v>108</v>
      </c>
      <c r="I42" s="1" t="s">
        <v>112</v>
      </c>
      <c r="J42" s="1" t="s">
        <v>166</v>
      </c>
      <c r="K42" s="7">
        <v>14</v>
      </c>
      <c r="L42" s="7">
        <v>3000</v>
      </c>
      <c r="M42" s="7">
        <v>42000</v>
      </c>
      <c r="N42" s="10">
        <v>46081.323980439818</v>
      </c>
    </row>
    <row r="43" spans="4:14" ht="15" customHeight="1" x14ac:dyDescent="0.35">
      <c r="D43" s="5">
        <v>46081</v>
      </c>
      <c r="E43" s="1" t="s">
        <v>103</v>
      </c>
      <c r="F43" s="1" t="s">
        <v>32</v>
      </c>
      <c r="G43" s="1" t="s">
        <v>107</v>
      </c>
      <c r="H43" s="1" t="s">
        <v>108</v>
      </c>
      <c r="I43" s="1" t="s">
        <v>111</v>
      </c>
      <c r="J43" s="1" t="s">
        <v>165</v>
      </c>
      <c r="K43" s="7">
        <v>24</v>
      </c>
      <c r="L43" s="7">
        <v>3000</v>
      </c>
      <c r="M43" s="7">
        <v>72000</v>
      </c>
      <c r="N43" s="10">
        <v>46081.323458449071</v>
      </c>
    </row>
    <row r="44" spans="4:14" ht="15" customHeight="1" x14ac:dyDescent="0.35">
      <c r="D44" s="5">
        <v>46081</v>
      </c>
      <c r="E44" s="1" t="s">
        <v>103</v>
      </c>
      <c r="F44" s="1" t="s">
        <v>32</v>
      </c>
      <c r="G44" s="1" t="s">
        <v>105</v>
      </c>
      <c r="H44" s="1" t="s">
        <v>108</v>
      </c>
      <c r="I44" s="1" t="s">
        <v>109</v>
      </c>
      <c r="J44" s="1" t="s">
        <v>165</v>
      </c>
      <c r="K44" s="7">
        <v>15</v>
      </c>
      <c r="L44" s="7">
        <v>3000</v>
      </c>
      <c r="M44" s="7">
        <v>45000</v>
      </c>
      <c r="N44" s="10">
        <v>46081.323226504632</v>
      </c>
    </row>
    <row r="45" spans="4:14" ht="15" customHeight="1" x14ac:dyDescent="0.35">
      <c r="D45" s="5">
        <v>46081</v>
      </c>
      <c r="E45" s="1" t="s">
        <v>103</v>
      </c>
      <c r="F45" s="1" t="s">
        <v>32</v>
      </c>
      <c r="G45" s="1" t="s">
        <v>107</v>
      </c>
      <c r="H45" s="1" t="s">
        <v>108</v>
      </c>
      <c r="I45" s="1" t="s">
        <v>111</v>
      </c>
      <c r="J45" s="1" t="s">
        <v>163</v>
      </c>
      <c r="K45" s="7">
        <v>3</v>
      </c>
      <c r="L45" s="7">
        <v>3000</v>
      </c>
      <c r="M45" s="7">
        <v>9000</v>
      </c>
      <c r="N45" s="10">
        <v>46081.271313194447</v>
      </c>
    </row>
    <row r="46" spans="4:14" ht="15" customHeight="1" x14ac:dyDescent="0.35">
      <c r="D46" s="5">
        <v>46079</v>
      </c>
      <c r="E46" s="1" t="s">
        <v>41</v>
      </c>
      <c r="F46" s="1" t="s">
        <v>66</v>
      </c>
      <c r="G46" s="1" t="s">
        <v>64</v>
      </c>
      <c r="H46" s="1" t="s">
        <v>42</v>
      </c>
      <c r="I46" s="1" t="s">
        <v>68</v>
      </c>
      <c r="J46" s="1" t="s">
        <v>157</v>
      </c>
      <c r="K46" s="7">
        <v>10</v>
      </c>
      <c r="L46" s="7">
        <v>2800</v>
      </c>
      <c r="M46" s="7">
        <v>28000</v>
      </c>
      <c r="N46" s="10">
        <v>46081.247604166667</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20BFB-A90B-4CB2-BD25-856E7828CB97}">
  <sheetPr codeName="Sheet4"/>
  <dimension ref="D4:AE35"/>
  <sheetViews>
    <sheetView zoomScale="80" workbookViewId="0">
      <selection activeCell="Q29" sqref="Q29"/>
    </sheetView>
  </sheetViews>
  <sheetFormatPr defaultRowHeight="15" customHeight="1" x14ac:dyDescent="0.35"/>
  <cols>
    <col min="1" max="1" width="8.7265625" style="1" customWidth="1"/>
    <col min="2" max="2" width="17.7265625" style="1" customWidth="1"/>
    <col min="3" max="3" width="3.6328125" style="1" customWidth="1"/>
    <col min="4" max="4" width="15.36328125" style="1" customWidth="1"/>
    <col min="5" max="5" width="17.7265625" style="1" customWidth="1"/>
    <col min="6" max="6" width="18.90625" style="1" customWidth="1"/>
    <col min="7" max="7" width="22.6328125" style="1" customWidth="1"/>
    <col min="8" max="8" width="10.26953125" style="1" customWidth="1"/>
    <col min="9" max="9" width="14.81640625" style="1" customWidth="1"/>
    <col min="10" max="10" width="11.81640625" style="1" customWidth="1"/>
    <col min="11" max="11" width="8.90625" style="1" customWidth="1"/>
    <col min="12" max="12" width="13.6328125" style="1" customWidth="1"/>
    <col min="13" max="13" width="13.26953125" style="1" customWidth="1"/>
    <col min="14" max="14" width="8.7265625" style="1" customWidth="1"/>
    <col min="15" max="15" width="13.453125" style="1" customWidth="1"/>
    <col min="16" max="16" width="16" style="1" hidden="1" customWidth="1"/>
    <col min="17" max="17" width="10.7265625" style="1" customWidth="1"/>
    <col min="18" max="18" width="10" style="1" customWidth="1"/>
    <col min="19" max="28" width="8.7265625" style="1"/>
    <col min="29" max="29" width="2" style="1" bestFit="1" customWidth="1"/>
    <col min="30" max="30" width="6.26953125" style="1" bestFit="1" customWidth="1"/>
    <col min="31" max="31" width="12.453125" style="1" bestFit="1" customWidth="1"/>
    <col min="32" max="16384" width="8.7265625" style="1"/>
  </cols>
  <sheetData>
    <row r="4" spans="4:31" ht="15" customHeight="1" x14ac:dyDescent="0.35">
      <c r="D4" s="2" t="s">
        <v>5</v>
      </c>
      <c r="E4" s="2" t="s">
        <v>9</v>
      </c>
      <c r="F4" s="2" t="s">
        <v>1</v>
      </c>
      <c r="G4" s="2" t="s">
        <v>0</v>
      </c>
      <c r="H4" s="2" t="s">
        <v>10</v>
      </c>
      <c r="I4" s="2" t="s">
        <v>6</v>
      </c>
      <c r="J4" s="2" t="s">
        <v>11</v>
      </c>
      <c r="K4" s="2" t="s">
        <v>12</v>
      </c>
      <c r="L4" s="2" t="s">
        <v>7</v>
      </c>
      <c r="M4" s="2" t="s">
        <v>8</v>
      </c>
      <c r="N4" s="2" t="s">
        <v>158</v>
      </c>
      <c r="O4" s="2" t="s">
        <v>13</v>
      </c>
      <c r="P4" s="9" t="s">
        <v>160</v>
      </c>
    </row>
    <row r="5" spans="4:31" ht="15" customHeight="1" x14ac:dyDescent="0.35">
      <c r="D5" s="6">
        <v>46091</v>
      </c>
      <c r="E5" s="1" t="s">
        <v>130</v>
      </c>
      <c r="F5" s="1" t="s">
        <v>131</v>
      </c>
      <c r="G5" s="1" t="s">
        <v>133</v>
      </c>
      <c r="H5" s="1" t="s">
        <v>135</v>
      </c>
      <c r="I5" s="1" t="s">
        <v>245</v>
      </c>
      <c r="J5" s="1" t="s">
        <v>294</v>
      </c>
      <c r="K5" s="7">
        <v>5</v>
      </c>
      <c r="L5" s="7">
        <v>2500</v>
      </c>
      <c r="M5" s="7">
        <v>12500</v>
      </c>
      <c r="N5" s="1">
        <v>23</v>
      </c>
      <c r="O5" s="1" t="s">
        <v>181</v>
      </c>
      <c r="P5" s="8">
        <v>46091.157384259262</v>
      </c>
    </row>
    <row r="6" spans="4:31" ht="15" customHeight="1" x14ac:dyDescent="0.35">
      <c r="D6" s="6">
        <v>46090</v>
      </c>
      <c r="E6" s="1" t="s">
        <v>103</v>
      </c>
      <c r="F6" s="1" t="s">
        <v>116</v>
      </c>
      <c r="G6" s="1" t="s">
        <v>115</v>
      </c>
      <c r="H6" s="1" t="s">
        <v>108</v>
      </c>
      <c r="I6" s="1" t="s">
        <v>237</v>
      </c>
      <c r="J6" s="1" t="s">
        <v>293</v>
      </c>
      <c r="K6" s="7">
        <v>1</v>
      </c>
      <c r="L6" s="7">
        <v>5000</v>
      </c>
      <c r="M6" s="7">
        <v>5000</v>
      </c>
      <c r="N6" s="1">
        <v>22</v>
      </c>
      <c r="O6" s="1" t="s">
        <v>159</v>
      </c>
      <c r="P6" s="8">
        <v>46091.156724537039</v>
      </c>
    </row>
    <row r="7" spans="4:31" ht="15" customHeight="1" x14ac:dyDescent="0.35">
      <c r="D7" s="6">
        <v>46090</v>
      </c>
      <c r="E7" s="1" t="s">
        <v>41</v>
      </c>
      <c r="F7" s="1" t="s">
        <v>66</v>
      </c>
      <c r="G7" s="1" t="s">
        <v>64</v>
      </c>
      <c r="H7" s="1" t="s">
        <v>42</v>
      </c>
      <c r="I7" s="1" t="s">
        <v>211</v>
      </c>
      <c r="J7" s="1" t="s">
        <v>292</v>
      </c>
      <c r="K7" s="7">
        <v>1</v>
      </c>
      <c r="L7" s="7">
        <v>4000</v>
      </c>
      <c r="M7" s="7">
        <v>4000</v>
      </c>
      <c r="N7" s="1">
        <v>21</v>
      </c>
      <c r="O7" s="1" t="s">
        <v>159</v>
      </c>
      <c r="P7" s="8">
        <v>46090.417395833334</v>
      </c>
    </row>
    <row r="8" spans="4:31" ht="15" customHeight="1" x14ac:dyDescent="0.35">
      <c r="D8" s="6">
        <v>46090</v>
      </c>
      <c r="E8" s="1" t="s">
        <v>103</v>
      </c>
      <c r="F8" s="1" t="s">
        <v>32</v>
      </c>
      <c r="G8" s="1" t="s">
        <v>39</v>
      </c>
      <c r="H8" s="1" t="s">
        <v>108</v>
      </c>
      <c r="I8" s="1" t="s">
        <v>234</v>
      </c>
      <c r="J8" s="1" t="s">
        <v>292</v>
      </c>
      <c r="K8" s="7">
        <v>2</v>
      </c>
      <c r="L8" s="7">
        <v>4500</v>
      </c>
      <c r="M8" s="7">
        <v>9000</v>
      </c>
      <c r="N8" s="1">
        <v>21</v>
      </c>
      <c r="O8" s="1" t="s">
        <v>159</v>
      </c>
      <c r="P8" s="8">
        <v>46090.416458333333</v>
      </c>
    </row>
    <row r="9" spans="4:31" ht="15" customHeight="1" x14ac:dyDescent="0.35">
      <c r="D9" s="6">
        <v>46090</v>
      </c>
      <c r="E9" s="1" t="s">
        <v>153</v>
      </c>
      <c r="F9" s="1" t="s">
        <v>152</v>
      </c>
      <c r="G9" s="1" t="s">
        <v>151</v>
      </c>
      <c r="H9" s="1" t="s">
        <v>154</v>
      </c>
      <c r="I9" s="1" t="s">
        <v>250</v>
      </c>
      <c r="J9" s="1" t="s">
        <v>189</v>
      </c>
      <c r="K9" s="7">
        <v>6</v>
      </c>
      <c r="L9" s="7">
        <v>1500</v>
      </c>
      <c r="M9" s="7">
        <v>9000</v>
      </c>
      <c r="N9" s="1">
        <v>20</v>
      </c>
      <c r="O9" s="1" t="s">
        <v>159</v>
      </c>
      <c r="P9" s="8">
        <v>46090.341400462959</v>
      </c>
    </row>
    <row r="10" spans="4:31" ht="15" customHeight="1" x14ac:dyDescent="0.35">
      <c r="D10" s="6">
        <v>46088</v>
      </c>
      <c r="E10" s="1" t="s">
        <v>103</v>
      </c>
      <c r="F10" s="1" t="s">
        <v>116</v>
      </c>
      <c r="G10" s="1" t="s">
        <v>113</v>
      </c>
      <c r="H10" s="1" t="s">
        <v>108</v>
      </c>
      <c r="I10" s="1" t="s">
        <v>235</v>
      </c>
      <c r="J10" s="1" t="s">
        <v>291</v>
      </c>
      <c r="K10" s="7">
        <v>7</v>
      </c>
      <c r="L10" s="7">
        <v>5000</v>
      </c>
      <c r="M10" s="7">
        <v>35000</v>
      </c>
      <c r="N10" s="1">
        <v>19</v>
      </c>
      <c r="O10" s="1" t="s">
        <v>186</v>
      </c>
      <c r="P10" s="8">
        <v>46090.335821759261</v>
      </c>
      <c r="AC10" s="1">
        <v>5</v>
      </c>
      <c r="AD10" s="1" t="s">
        <v>159</v>
      </c>
      <c r="AE10" s="1">
        <v>46079.993571874998</v>
      </c>
    </row>
    <row r="11" spans="4:31" ht="15" customHeight="1" x14ac:dyDescent="0.35">
      <c r="D11" s="6">
        <v>46088</v>
      </c>
      <c r="E11" s="1" t="s">
        <v>130</v>
      </c>
      <c r="F11" s="1" t="s">
        <v>131</v>
      </c>
      <c r="G11" s="1" t="s">
        <v>133</v>
      </c>
      <c r="H11" s="1" t="s">
        <v>135</v>
      </c>
      <c r="I11" s="1" t="s">
        <v>245</v>
      </c>
      <c r="J11" s="1" t="s">
        <v>290</v>
      </c>
      <c r="K11" s="7">
        <v>1</v>
      </c>
      <c r="L11" s="7">
        <v>2500</v>
      </c>
      <c r="M11" s="7">
        <v>2500</v>
      </c>
      <c r="N11" s="1">
        <v>18</v>
      </c>
      <c r="O11" s="1" t="s">
        <v>181</v>
      </c>
      <c r="P11" s="8">
        <v>46088.490555555552</v>
      </c>
    </row>
    <row r="12" spans="4:31" ht="15" customHeight="1" x14ac:dyDescent="0.35">
      <c r="D12" s="6">
        <v>46088</v>
      </c>
      <c r="E12" s="1" t="s">
        <v>75</v>
      </c>
      <c r="F12" s="1" t="s">
        <v>49</v>
      </c>
      <c r="G12" s="1" t="s">
        <v>72</v>
      </c>
      <c r="H12" s="1" t="s">
        <v>76</v>
      </c>
      <c r="I12" s="1" t="s">
        <v>217</v>
      </c>
      <c r="J12" s="1" t="s">
        <v>290</v>
      </c>
      <c r="K12" s="7">
        <v>2</v>
      </c>
      <c r="L12" s="7">
        <v>6000</v>
      </c>
      <c r="M12" s="7">
        <v>12000</v>
      </c>
      <c r="N12" s="1">
        <v>18</v>
      </c>
      <c r="O12" s="1" t="s">
        <v>181</v>
      </c>
      <c r="P12" s="8">
        <v>46088.490243055552</v>
      </c>
    </row>
    <row r="13" spans="4:31" ht="15" customHeight="1" x14ac:dyDescent="0.35">
      <c r="D13" s="6">
        <v>46088</v>
      </c>
      <c r="E13" s="1" t="s">
        <v>41</v>
      </c>
      <c r="F13" s="1" t="s">
        <v>49</v>
      </c>
      <c r="G13" s="1" t="s">
        <v>48</v>
      </c>
      <c r="H13" s="1" t="s">
        <v>50</v>
      </c>
      <c r="I13" s="1" t="s">
        <v>203</v>
      </c>
      <c r="J13" s="1" t="s">
        <v>290</v>
      </c>
      <c r="K13" s="7">
        <v>2</v>
      </c>
      <c r="L13" s="7">
        <v>5000</v>
      </c>
      <c r="M13" s="7">
        <v>10000</v>
      </c>
      <c r="N13" s="1">
        <v>18</v>
      </c>
      <c r="O13" s="1" t="s">
        <v>181</v>
      </c>
      <c r="P13" s="8">
        <v>46088.489756944444</v>
      </c>
    </row>
    <row r="14" spans="4:31" ht="15" customHeight="1" x14ac:dyDescent="0.35">
      <c r="D14" s="6">
        <v>46088</v>
      </c>
      <c r="E14" s="1" t="s">
        <v>75</v>
      </c>
      <c r="F14" s="1" t="s">
        <v>49</v>
      </c>
      <c r="G14" s="1" t="s">
        <v>73</v>
      </c>
      <c r="H14" s="1" t="s">
        <v>76</v>
      </c>
      <c r="I14" s="1" t="s">
        <v>214</v>
      </c>
      <c r="J14" s="1" t="s">
        <v>285</v>
      </c>
      <c r="K14" s="7">
        <v>2</v>
      </c>
      <c r="L14" s="7">
        <v>7000</v>
      </c>
      <c r="M14" s="7">
        <v>14000</v>
      </c>
      <c r="N14" s="1">
        <v>17</v>
      </c>
      <c r="O14" s="1" t="s">
        <v>186</v>
      </c>
      <c r="P14" s="8">
        <v>46088.481689814813</v>
      </c>
    </row>
    <row r="15" spans="4:31" ht="15" customHeight="1" x14ac:dyDescent="0.35">
      <c r="D15" s="6">
        <v>46086</v>
      </c>
      <c r="E15" s="1" t="s">
        <v>141</v>
      </c>
      <c r="F15" s="1" t="s">
        <v>142</v>
      </c>
      <c r="G15" s="1" t="s">
        <v>144</v>
      </c>
      <c r="H15" s="1" t="s">
        <v>135</v>
      </c>
      <c r="I15" s="1" t="s">
        <v>248</v>
      </c>
      <c r="J15" s="1" t="s">
        <v>182</v>
      </c>
      <c r="K15" s="7">
        <v>5</v>
      </c>
      <c r="L15" s="7">
        <v>2300</v>
      </c>
      <c r="M15" s="7">
        <v>11500</v>
      </c>
      <c r="N15" s="1">
        <v>16</v>
      </c>
      <c r="O15" s="1" t="s">
        <v>159</v>
      </c>
      <c r="P15" s="8">
        <v>46086.42291666667</v>
      </c>
    </row>
    <row r="16" spans="4:31" ht="15" customHeight="1" x14ac:dyDescent="0.35">
      <c r="D16" s="6">
        <v>46086</v>
      </c>
      <c r="E16" s="1" t="s">
        <v>103</v>
      </c>
      <c r="F16" s="1" t="s">
        <v>116</v>
      </c>
      <c r="G16" s="1" t="s">
        <v>113</v>
      </c>
      <c r="H16" s="1" t="s">
        <v>108</v>
      </c>
      <c r="I16" s="1" t="s">
        <v>235</v>
      </c>
      <c r="J16" s="1" t="s">
        <v>285</v>
      </c>
      <c r="K16" s="7">
        <v>4</v>
      </c>
      <c r="L16" s="7">
        <v>5000</v>
      </c>
      <c r="M16" s="7">
        <v>20000</v>
      </c>
      <c r="N16" s="1">
        <v>15</v>
      </c>
      <c r="O16" s="1" t="s">
        <v>176</v>
      </c>
      <c r="P16" s="8">
        <v>46086.362349537034</v>
      </c>
    </row>
    <row r="17" spans="4:16" ht="15" customHeight="1" x14ac:dyDescent="0.35">
      <c r="D17" s="6">
        <v>46086</v>
      </c>
      <c r="E17" s="1" t="s">
        <v>41</v>
      </c>
      <c r="F17" s="1" t="s">
        <v>57</v>
      </c>
      <c r="G17" s="1" t="s">
        <v>52</v>
      </c>
      <c r="H17" s="1" t="s">
        <v>42</v>
      </c>
      <c r="I17" s="1" t="s">
        <v>204</v>
      </c>
      <c r="J17" s="1" t="s">
        <v>284</v>
      </c>
      <c r="K17" s="7">
        <v>10</v>
      </c>
      <c r="L17" s="7">
        <v>3500</v>
      </c>
      <c r="M17" s="7">
        <v>35000</v>
      </c>
      <c r="N17" s="1">
        <v>14</v>
      </c>
      <c r="O17" s="1" t="s">
        <v>177</v>
      </c>
      <c r="P17" s="8">
        <v>46086.253645833334</v>
      </c>
    </row>
    <row r="18" spans="4:16" ht="15" customHeight="1" x14ac:dyDescent="0.35">
      <c r="D18" s="6">
        <v>46086</v>
      </c>
      <c r="E18" s="1" t="s">
        <v>41</v>
      </c>
      <c r="F18" s="1" t="s">
        <v>66</v>
      </c>
      <c r="G18" s="1" t="s">
        <v>62</v>
      </c>
      <c r="H18" s="1" t="s">
        <v>42</v>
      </c>
      <c r="I18" s="1" t="s">
        <v>209</v>
      </c>
      <c r="J18" s="1" t="s">
        <v>284</v>
      </c>
      <c r="K18" s="7">
        <v>10</v>
      </c>
      <c r="L18" s="7">
        <v>4000</v>
      </c>
      <c r="M18" s="7">
        <v>40000</v>
      </c>
      <c r="N18" s="1">
        <v>14</v>
      </c>
      <c r="O18" s="1" t="s">
        <v>177</v>
      </c>
      <c r="P18" s="8">
        <v>46086.253020833334</v>
      </c>
    </row>
    <row r="19" spans="4:16" ht="15" customHeight="1" x14ac:dyDescent="0.35">
      <c r="D19" s="6">
        <v>46085</v>
      </c>
      <c r="E19" s="1" t="s">
        <v>41</v>
      </c>
      <c r="F19" s="1" t="s">
        <v>57</v>
      </c>
      <c r="G19" s="1" t="s">
        <v>56</v>
      </c>
      <c r="H19" s="1" t="s">
        <v>42</v>
      </c>
      <c r="I19" s="1" t="s">
        <v>208</v>
      </c>
      <c r="J19" s="1" t="s">
        <v>283</v>
      </c>
      <c r="K19" s="7">
        <v>3</v>
      </c>
      <c r="L19" s="7">
        <v>3500</v>
      </c>
      <c r="M19" s="7">
        <v>10500</v>
      </c>
      <c r="N19" s="1">
        <v>13</v>
      </c>
      <c r="O19" s="1" t="s">
        <v>177</v>
      </c>
      <c r="P19" s="8">
        <v>46085.527337962965</v>
      </c>
    </row>
    <row r="20" spans="4:16" ht="15" customHeight="1" x14ac:dyDescent="0.35">
      <c r="D20" s="6">
        <v>46082</v>
      </c>
      <c r="E20" s="1" t="s">
        <v>75</v>
      </c>
      <c r="F20" s="1" t="s">
        <v>49</v>
      </c>
      <c r="G20" s="1" t="s">
        <v>71</v>
      </c>
      <c r="H20" s="1" t="s">
        <v>76</v>
      </c>
      <c r="I20" s="1" t="s">
        <v>215</v>
      </c>
      <c r="J20" s="1" t="s">
        <v>189</v>
      </c>
      <c r="K20" s="7">
        <v>8</v>
      </c>
      <c r="L20" s="7">
        <v>7500</v>
      </c>
      <c r="M20" s="7">
        <v>60000</v>
      </c>
      <c r="N20" s="1">
        <v>12</v>
      </c>
      <c r="O20" s="1" t="s">
        <v>159</v>
      </c>
      <c r="P20" s="8">
        <v>46085.52542824074</v>
      </c>
    </row>
    <row r="21" spans="4:16" ht="15" customHeight="1" x14ac:dyDescent="0.35">
      <c r="D21" s="6">
        <v>46083</v>
      </c>
      <c r="E21" s="1" t="s">
        <v>41</v>
      </c>
      <c r="F21" s="1" t="s">
        <v>32</v>
      </c>
      <c r="G21" s="1" t="s">
        <v>33</v>
      </c>
      <c r="H21" s="1" t="s">
        <v>42</v>
      </c>
      <c r="I21" s="1" t="s">
        <v>25</v>
      </c>
      <c r="J21" s="1" t="s">
        <v>188</v>
      </c>
      <c r="K21" s="7">
        <v>12</v>
      </c>
      <c r="L21" s="7">
        <v>4500</v>
      </c>
      <c r="M21" s="7">
        <v>54000</v>
      </c>
      <c r="N21" s="1">
        <v>11</v>
      </c>
      <c r="O21" s="1" t="s">
        <v>186</v>
      </c>
      <c r="P21" s="8">
        <v>46082.552615740744</v>
      </c>
    </row>
    <row r="22" spans="4:16" ht="15" customHeight="1" x14ac:dyDescent="0.35">
      <c r="D22" s="6">
        <v>46082</v>
      </c>
      <c r="E22" s="1" t="s">
        <v>103</v>
      </c>
      <c r="F22" s="1" t="s">
        <v>116</v>
      </c>
      <c r="G22" s="1" t="s">
        <v>113</v>
      </c>
      <c r="H22" s="1" t="s">
        <v>108</v>
      </c>
      <c r="I22" s="1" t="s">
        <v>117</v>
      </c>
      <c r="J22" s="1" t="s">
        <v>187</v>
      </c>
      <c r="K22" s="7">
        <v>5</v>
      </c>
      <c r="L22" s="7">
        <v>5000</v>
      </c>
      <c r="M22" s="7">
        <v>25000</v>
      </c>
      <c r="N22" s="1">
        <v>10</v>
      </c>
      <c r="O22" s="1" t="s">
        <v>186</v>
      </c>
      <c r="P22" s="8">
        <v>46082.308125000003</v>
      </c>
    </row>
    <row r="23" spans="4:16" ht="15" customHeight="1" x14ac:dyDescent="0.35">
      <c r="D23" s="6">
        <v>46082</v>
      </c>
      <c r="E23" s="1" t="s">
        <v>75</v>
      </c>
      <c r="F23" s="1" t="s">
        <v>84</v>
      </c>
      <c r="G23" s="1" t="s">
        <v>80</v>
      </c>
      <c r="H23" s="1" t="s">
        <v>76</v>
      </c>
      <c r="I23" s="1" t="s">
        <v>85</v>
      </c>
      <c r="J23" s="1" t="s">
        <v>187</v>
      </c>
      <c r="K23" s="7">
        <v>15</v>
      </c>
      <c r="L23" s="7">
        <v>18000</v>
      </c>
      <c r="M23" s="7">
        <v>270000</v>
      </c>
      <c r="N23" s="1">
        <v>10</v>
      </c>
      <c r="O23" s="1" t="s">
        <v>186</v>
      </c>
      <c r="P23" s="8">
        <v>46082.307141203702</v>
      </c>
    </row>
    <row r="24" spans="4:16" ht="15" customHeight="1" x14ac:dyDescent="0.35">
      <c r="D24" s="6">
        <v>46082</v>
      </c>
      <c r="E24" s="1" t="s">
        <v>153</v>
      </c>
      <c r="F24" s="1" t="s">
        <v>152</v>
      </c>
      <c r="G24" s="1" t="s">
        <v>151</v>
      </c>
      <c r="H24" s="1" t="s">
        <v>154</v>
      </c>
      <c r="I24" s="1" t="s">
        <v>150</v>
      </c>
      <c r="J24" s="1" t="s">
        <v>170</v>
      </c>
      <c r="K24" s="7">
        <v>16</v>
      </c>
      <c r="L24" s="7">
        <v>1500</v>
      </c>
      <c r="M24" s="7">
        <v>24000</v>
      </c>
      <c r="N24" s="1">
        <v>9</v>
      </c>
      <c r="O24" s="1" t="s">
        <v>177</v>
      </c>
      <c r="P24" s="8">
        <v>46082.306504629632</v>
      </c>
    </row>
    <row r="25" spans="4:16" ht="15" customHeight="1" x14ac:dyDescent="0.35">
      <c r="D25" s="6">
        <v>46082</v>
      </c>
      <c r="E25" s="1" t="s">
        <v>75</v>
      </c>
      <c r="F25" s="1" t="s">
        <v>49</v>
      </c>
      <c r="G25" s="1" t="s">
        <v>72</v>
      </c>
      <c r="H25" s="1" t="s">
        <v>76</v>
      </c>
      <c r="I25" s="1" t="s">
        <v>79</v>
      </c>
      <c r="J25" s="1" t="s">
        <v>185</v>
      </c>
      <c r="K25" s="7">
        <v>20</v>
      </c>
      <c r="L25" s="7">
        <v>6000</v>
      </c>
      <c r="M25" s="7">
        <v>120000</v>
      </c>
      <c r="N25" s="1">
        <v>8</v>
      </c>
      <c r="O25" s="1" t="s">
        <v>186</v>
      </c>
      <c r="P25" s="8">
        <v>46082.304629629631</v>
      </c>
    </row>
    <row r="26" spans="4:16" ht="15" customHeight="1" x14ac:dyDescent="0.35">
      <c r="D26" s="6">
        <v>46082</v>
      </c>
      <c r="E26" s="1" t="s">
        <v>75</v>
      </c>
      <c r="F26" s="1" t="s">
        <v>49</v>
      </c>
      <c r="G26" s="1" t="s">
        <v>72</v>
      </c>
      <c r="H26" s="1" t="s">
        <v>76</v>
      </c>
      <c r="I26" s="1" t="s">
        <v>79</v>
      </c>
      <c r="J26" s="1" t="s">
        <v>184</v>
      </c>
      <c r="K26" s="7">
        <v>2</v>
      </c>
      <c r="L26" s="7">
        <v>6000</v>
      </c>
      <c r="M26" s="7">
        <v>12000</v>
      </c>
      <c r="N26" s="1">
        <v>7</v>
      </c>
      <c r="O26" s="1" t="s">
        <v>176</v>
      </c>
      <c r="P26" s="8">
        <v>46082.30263888889</v>
      </c>
    </row>
    <row r="27" spans="4:16" ht="15" customHeight="1" x14ac:dyDescent="0.35">
      <c r="D27" s="6">
        <v>46082</v>
      </c>
      <c r="E27" s="1" t="s">
        <v>141</v>
      </c>
      <c r="F27" s="1" t="s">
        <v>142</v>
      </c>
      <c r="G27" s="1" t="s">
        <v>143</v>
      </c>
      <c r="H27" s="1" t="s">
        <v>135</v>
      </c>
      <c r="I27" s="1" t="s">
        <v>146</v>
      </c>
      <c r="J27" s="1" t="s">
        <v>183</v>
      </c>
      <c r="K27" s="7">
        <v>2</v>
      </c>
      <c r="L27" s="7">
        <v>2300</v>
      </c>
      <c r="M27" s="7">
        <v>4600</v>
      </c>
      <c r="N27" s="1">
        <v>6</v>
      </c>
      <c r="O27" s="1" t="s">
        <v>159</v>
      </c>
      <c r="P27" s="8">
        <v>46082.300856481481</v>
      </c>
    </row>
    <row r="28" spans="4:16" ht="15" customHeight="1" x14ac:dyDescent="0.35">
      <c r="D28" s="6">
        <v>46082</v>
      </c>
      <c r="E28" s="1" t="s">
        <v>41</v>
      </c>
      <c r="F28" s="1" t="s">
        <v>57</v>
      </c>
      <c r="G28" s="1" t="s">
        <v>55</v>
      </c>
      <c r="H28" s="1" t="s">
        <v>42</v>
      </c>
      <c r="I28" s="1" t="s">
        <v>60</v>
      </c>
      <c r="J28" s="1" t="s">
        <v>183</v>
      </c>
      <c r="K28" s="7">
        <v>2</v>
      </c>
      <c r="L28" s="7">
        <v>3500</v>
      </c>
      <c r="M28" s="7">
        <v>7000</v>
      </c>
      <c r="N28" s="1">
        <v>6</v>
      </c>
      <c r="O28" s="1" t="s">
        <v>159</v>
      </c>
      <c r="P28" s="8">
        <v>46082.300555555557</v>
      </c>
    </row>
    <row r="29" spans="4:16" ht="15" customHeight="1" x14ac:dyDescent="0.35">
      <c r="D29" s="6">
        <v>46082</v>
      </c>
      <c r="E29" s="1" t="s">
        <v>41</v>
      </c>
      <c r="F29" s="1" t="s">
        <v>57</v>
      </c>
      <c r="G29" s="1" t="s">
        <v>56</v>
      </c>
      <c r="H29" s="1" t="s">
        <v>42</v>
      </c>
      <c r="I29" s="1" t="s">
        <v>61</v>
      </c>
      <c r="J29" s="1" t="s">
        <v>182</v>
      </c>
      <c r="K29" s="7">
        <v>2</v>
      </c>
      <c r="L29" s="7">
        <v>3500</v>
      </c>
      <c r="M29" s="7">
        <v>7000</v>
      </c>
      <c r="N29" s="1">
        <v>5</v>
      </c>
      <c r="O29" s="1" t="s">
        <v>181</v>
      </c>
      <c r="P29" s="8">
        <v>46082.300057870372</v>
      </c>
    </row>
    <row r="30" spans="4:16" ht="15" customHeight="1" x14ac:dyDescent="0.35">
      <c r="D30" s="6">
        <v>46082</v>
      </c>
      <c r="E30" s="1" t="s">
        <v>41</v>
      </c>
      <c r="F30" s="1" t="s">
        <v>49</v>
      </c>
      <c r="G30" s="1" t="s">
        <v>44</v>
      </c>
      <c r="H30" s="1" t="s">
        <v>50</v>
      </c>
      <c r="I30" s="1" t="s">
        <v>31</v>
      </c>
      <c r="J30" s="1" t="s">
        <v>180</v>
      </c>
      <c r="K30" s="7">
        <v>20</v>
      </c>
      <c r="L30" s="7">
        <v>7000</v>
      </c>
      <c r="M30" s="7">
        <v>140000</v>
      </c>
      <c r="N30" s="1">
        <v>4</v>
      </c>
      <c r="O30" s="1" t="s">
        <v>181</v>
      </c>
      <c r="P30" s="8">
        <v>46082.296909722223</v>
      </c>
    </row>
    <row r="31" spans="4:16" ht="15" customHeight="1" x14ac:dyDescent="0.35">
      <c r="D31" s="6">
        <v>46082</v>
      </c>
      <c r="E31" s="1" t="s">
        <v>103</v>
      </c>
      <c r="F31" s="1" t="s">
        <v>116</v>
      </c>
      <c r="G31" s="1" t="s">
        <v>113</v>
      </c>
      <c r="H31" s="1" t="s">
        <v>108</v>
      </c>
      <c r="I31" s="1" t="s">
        <v>117</v>
      </c>
      <c r="J31" s="1" t="s">
        <v>179</v>
      </c>
      <c r="K31" s="7">
        <v>2</v>
      </c>
      <c r="L31" s="7">
        <v>5000</v>
      </c>
      <c r="M31" s="7">
        <v>10000</v>
      </c>
      <c r="N31" s="1">
        <v>3</v>
      </c>
      <c r="O31" s="1" t="s">
        <v>159</v>
      </c>
      <c r="P31" s="8">
        <v>46082.295636574076</v>
      </c>
    </row>
    <row r="32" spans="4:16" ht="15" customHeight="1" x14ac:dyDescent="0.35">
      <c r="D32" s="6">
        <v>46082</v>
      </c>
      <c r="E32" s="1" t="s">
        <v>130</v>
      </c>
      <c r="F32" s="1" t="s">
        <v>129</v>
      </c>
      <c r="G32" s="1" t="s">
        <v>127</v>
      </c>
      <c r="H32" s="1" t="s">
        <v>50</v>
      </c>
      <c r="I32" s="1" t="s">
        <v>136</v>
      </c>
      <c r="J32" s="1" t="s">
        <v>179</v>
      </c>
      <c r="K32" s="7">
        <v>2</v>
      </c>
      <c r="L32" s="7">
        <v>5000</v>
      </c>
      <c r="M32" s="7">
        <v>10000</v>
      </c>
      <c r="N32" s="1">
        <v>3</v>
      </c>
      <c r="O32" s="1" t="s">
        <v>159</v>
      </c>
      <c r="P32" s="8">
        <v>46082.295347222222</v>
      </c>
    </row>
    <row r="33" spans="4:16" ht="15" customHeight="1" x14ac:dyDescent="0.35">
      <c r="D33" s="6">
        <v>46082</v>
      </c>
      <c r="E33" s="1" t="s">
        <v>103</v>
      </c>
      <c r="F33" s="1" t="s">
        <v>32</v>
      </c>
      <c r="G33" s="1" t="s">
        <v>106</v>
      </c>
      <c r="H33" s="1" t="s">
        <v>108</v>
      </c>
      <c r="I33" s="1" t="s">
        <v>110</v>
      </c>
      <c r="J33" s="1" t="s">
        <v>178</v>
      </c>
      <c r="K33" s="7">
        <v>3</v>
      </c>
      <c r="L33" s="7">
        <v>4500</v>
      </c>
      <c r="M33" s="7">
        <v>13500</v>
      </c>
      <c r="N33" s="1">
        <v>2</v>
      </c>
      <c r="O33" s="1" t="s">
        <v>176</v>
      </c>
      <c r="P33" s="8">
        <v>46082.293599537035</v>
      </c>
    </row>
    <row r="34" spans="4:16" ht="15" customHeight="1" x14ac:dyDescent="0.35">
      <c r="D34" s="6">
        <v>46082</v>
      </c>
      <c r="E34" s="1" t="s">
        <v>103</v>
      </c>
      <c r="F34" s="1" t="s">
        <v>102</v>
      </c>
      <c r="G34" s="1" t="s">
        <v>99</v>
      </c>
      <c r="H34" s="1" t="s">
        <v>76</v>
      </c>
      <c r="I34" s="1" t="s">
        <v>104</v>
      </c>
      <c r="J34" s="1" t="s">
        <v>107</v>
      </c>
      <c r="K34" s="7">
        <v>1</v>
      </c>
      <c r="L34" s="7">
        <v>4000</v>
      </c>
      <c r="M34" s="7">
        <v>4000</v>
      </c>
      <c r="N34" s="1">
        <v>1</v>
      </c>
      <c r="O34" s="1" t="s">
        <v>159</v>
      </c>
      <c r="P34" s="8">
        <v>46082.290636574071</v>
      </c>
    </row>
    <row r="35" spans="4:16" ht="15" customHeight="1" x14ac:dyDescent="0.35">
      <c r="D35" s="6">
        <v>46082</v>
      </c>
      <c r="E35" s="1" t="s">
        <v>130</v>
      </c>
      <c r="F35" s="1" t="s">
        <v>129</v>
      </c>
      <c r="G35" s="1" t="s">
        <v>128</v>
      </c>
      <c r="H35" s="1" t="s">
        <v>50</v>
      </c>
      <c r="I35" s="1" t="s">
        <v>137</v>
      </c>
      <c r="J35" s="1" t="s">
        <v>107</v>
      </c>
      <c r="K35" s="7">
        <v>2</v>
      </c>
      <c r="L35" s="7">
        <v>5000</v>
      </c>
      <c r="M35" s="7">
        <v>10000</v>
      </c>
      <c r="N35" s="1">
        <v>1</v>
      </c>
      <c r="O35" s="1" t="s">
        <v>159</v>
      </c>
      <c r="P35" s="8">
        <v>46082.28802083333</v>
      </c>
    </row>
  </sheetData>
  <phoneticPr fontId="3" type="noConversion"/>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850D-09E5-4F9F-891D-5C198283BCDF}">
  <sheetPr codeName="Sheet6"/>
  <dimension ref="D4:M65"/>
  <sheetViews>
    <sheetView workbookViewId="0">
      <selection activeCell="N23" sqref="N23"/>
    </sheetView>
  </sheetViews>
  <sheetFormatPr defaultRowHeight="15" customHeight="1" x14ac:dyDescent="0.35"/>
  <cols>
    <col min="1" max="1" width="8.7265625" style="1"/>
    <col min="2" max="2" width="17.7265625" style="1" customWidth="1"/>
    <col min="3" max="3" width="3.1796875" style="1" customWidth="1"/>
    <col min="4" max="4" width="11.7265625" style="1" customWidth="1"/>
    <col min="5" max="5" width="12.08984375" style="1" customWidth="1"/>
    <col min="6" max="6" width="16.81640625" style="1" customWidth="1"/>
    <col min="7" max="7" width="14.81640625" style="1" customWidth="1"/>
    <col min="8" max="8" width="6.26953125" style="1" customWidth="1"/>
    <col min="9" max="9" width="16.26953125" style="1" customWidth="1"/>
    <col min="10" max="10" width="11.7265625" style="1" customWidth="1"/>
    <col min="11" max="11" width="15.1796875" style="1" customWidth="1"/>
    <col min="12" max="12" width="14.453125" style="1" customWidth="1"/>
    <col min="13" max="13" width="13.08984375" style="1" customWidth="1"/>
    <col min="14" max="14" width="11.453125" style="1" customWidth="1"/>
    <col min="15" max="16384" width="8.7265625" style="1"/>
  </cols>
  <sheetData>
    <row r="4" spans="4:13" ht="15" customHeight="1" x14ac:dyDescent="0.35">
      <c r="D4" s="2" t="s">
        <v>6</v>
      </c>
      <c r="E4" s="2" t="s">
        <v>9</v>
      </c>
      <c r="F4" s="2" t="s">
        <v>1</v>
      </c>
      <c r="G4" s="2" t="s">
        <v>0</v>
      </c>
      <c r="H4" s="2" t="s">
        <v>10</v>
      </c>
      <c r="I4" s="2" t="s">
        <v>254</v>
      </c>
      <c r="J4" s="2" t="s">
        <v>17</v>
      </c>
      <c r="K4" s="2" t="s">
        <v>18</v>
      </c>
      <c r="L4" s="2" t="s">
        <v>19</v>
      </c>
      <c r="M4" s="2" t="s">
        <v>20</v>
      </c>
    </row>
    <row r="5" spans="4:13" ht="15" customHeight="1" x14ac:dyDescent="0.35">
      <c r="D5" s="1" t="s">
        <v>190</v>
      </c>
      <c r="E5" s="1" t="str">
        <f>_xlfn.XLOOKUP(Table2[[#This Row],[Product ID]],Table1[Product ID],Table1[Category])</f>
        <v>Body Spray</v>
      </c>
      <c r="F5" s="1" t="str">
        <f>_xlfn.XLOOKUP(Table2[[#This Row],[Product ID]],Table1[Product ID],Table1[Brand])</f>
        <v>Confetti London</v>
      </c>
      <c r="G5" s="1" t="str">
        <f>_xlfn.XLOOKUP(Table2[[#This Row],[Product ID]],Table1[Product ID],Table1[Product Name])</f>
        <v>Joy</v>
      </c>
      <c r="H5" s="1" t="str">
        <f>_xlfn.XLOOKUP(Table2[[#This Row],[Product ID]],Table1[Product ID],Table1[Size_ml])</f>
        <v>250ml</v>
      </c>
      <c r="I5" s="1">
        <f>_xlfn.XLOOKUP(Table2[[#This Row],[Product ID]],Table1[Product ID],Table1[Costprice])</f>
        <v>3500</v>
      </c>
      <c r="J5" s="1">
        <f>SUMIFS(Table3[Qty],Table3[Product ID],Table2[[#This Row],[Product ID]])</f>
        <v>0</v>
      </c>
      <c r="K5" s="1">
        <f>SUMIFS(Table4[Qty],Table4[Product ID],Table2[[#This Row],[Product ID]])</f>
        <v>12</v>
      </c>
      <c r="L5" s="1">
        <f>Table2[[#This Row],[Total Purchased]]-Table2[[#This Row],[Total Sold]]</f>
        <v>-12</v>
      </c>
      <c r="M5" s="1" t="str">
        <f>IF(Table2[[#This Row],[Current Stock]]=0,"Out of Stock",IF(Table2[[#This Row],[Current Stock]]&lt;=5,"Low Stock","In Stock"))</f>
        <v>Low Stock</v>
      </c>
    </row>
    <row r="6" spans="4:13" ht="15" customHeight="1" x14ac:dyDescent="0.35">
      <c r="D6" s="1" t="s">
        <v>191</v>
      </c>
      <c r="E6" s="1" t="str">
        <f>_xlfn.XLOOKUP(Table2[[#This Row],[Product ID]],Table1[Product ID],Table1[Category])</f>
        <v>Body Spray</v>
      </c>
      <c r="F6" s="1" t="str">
        <f>_xlfn.XLOOKUP(Table2[[#This Row],[Product ID]],Table1[Product ID],Table1[Brand])</f>
        <v>Confetti London</v>
      </c>
      <c r="G6" s="1" t="str">
        <f>_xlfn.XLOOKUP(Table2[[#This Row],[Product ID]],Table1[Product ID],Table1[Product Name])</f>
        <v>dear</v>
      </c>
      <c r="H6" s="1" t="str">
        <f>_xlfn.XLOOKUP(Table2[[#This Row],[Product ID]],Table1[Product ID],Table1[Size_ml])</f>
        <v>250ml</v>
      </c>
      <c r="I6" s="1">
        <f>_xlfn.XLOOKUP(Table2[[#This Row],[Product ID]],Table1[Product ID],Table1[Costprice])</f>
        <v>3500</v>
      </c>
      <c r="J6" s="1">
        <f>SUMIFS(Table3[Qty],Table3[Product ID],Table2[[#This Row],[Product ID]])</f>
        <v>0</v>
      </c>
      <c r="K6" s="1">
        <f>SUMIFS(Table4[Qty],Table4[Product ID],Table2[[#This Row],[Product ID]])</f>
        <v>0</v>
      </c>
      <c r="L6" s="1">
        <f>Table2[[#This Row],[Total Purchased]]-Table2[[#This Row],[Total Sold]]</f>
        <v>0</v>
      </c>
      <c r="M6" s="1" t="str">
        <f>IF(Table2[[#This Row],[Current Stock]]=0,"Out of Stock",IF(Table2[[#This Row],[Current Stock]]&lt;=5,"Low Stock","In Stock"))</f>
        <v>Out of Stock</v>
      </c>
    </row>
    <row r="7" spans="4:13" ht="15" customHeight="1" x14ac:dyDescent="0.35">
      <c r="D7" s="1" t="s">
        <v>192</v>
      </c>
      <c r="E7" s="1" t="str">
        <f>_xlfn.XLOOKUP(Table2[[#This Row],[Product ID]],Table1[Product ID],Table1[Category])</f>
        <v>Body Spray</v>
      </c>
      <c r="F7" s="1" t="str">
        <f>_xlfn.XLOOKUP(Table2[[#This Row],[Product ID]],Table1[Product ID],Table1[Brand])</f>
        <v>Confetti London</v>
      </c>
      <c r="G7" s="1" t="str">
        <f>_xlfn.XLOOKUP(Table2[[#This Row],[Product ID]],Table1[Product ID],Table1[Product Name])</f>
        <v>nude</v>
      </c>
      <c r="H7" s="1" t="str">
        <f>_xlfn.XLOOKUP(Table2[[#This Row],[Product ID]],Table1[Product ID],Table1[Size_ml])</f>
        <v>250ml</v>
      </c>
      <c r="I7" s="1">
        <f>_xlfn.XLOOKUP(Table2[[#This Row],[Product ID]],Table1[Product ID],Table1[Costprice])</f>
        <v>3000</v>
      </c>
      <c r="J7" s="1">
        <f>SUMIFS(Table3[Qty],Table3[Product ID],Table2[[#This Row],[Product ID]])</f>
        <v>15</v>
      </c>
      <c r="K7" s="1">
        <f>SUMIFS(Table4[Qty],Table4[Product ID],Table2[[#This Row],[Product ID]])</f>
        <v>0</v>
      </c>
      <c r="L7" s="1">
        <f>Table2[[#This Row],[Total Purchased]]-Table2[[#This Row],[Total Sold]]</f>
        <v>15</v>
      </c>
      <c r="M7" s="1" t="str">
        <f>IF(Table2[[#This Row],[Current Stock]]=0,"Out of Stock",IF(Table2[[#This Row],[Current Stock]]&lt;=5,"Low Stock","In Stock"))</f>
        <v>In Stock</v>
      </c>
    </row>
    <row r="8" spans="4:13" ht="15" customHeight="1" x14ac:dyDescent="0.35">
      <c r="D8" s="1" t="s">
        <v>193</v>
      </c>
      <c r="E8" s="1" t="str">
        <f>_xlfn.XLOOKUP(Table2[[#This Row],[Product ID]],Table1[Product ID],Table1[Category])</f>
        <v>Body Spray</v>
      </c>
      <c r="F8" s="1" t="str">
        <f>_xlfn.XLOOKUP(Table2[[#This Row],[Product ID]],Table1[Product ID],Table1[Brand])</f>
        <v>Confetti London</v>
      </c>
      <c r="G8" s="1" t="str">
        <f>_xlfn.XLOOKUP(Table2[[#This Row],[Product ID]],Table1[Product ID],Table1[Product Name])</f>
        <v>coral</v>
      </c>
      <c r="H8" s="1" t="str">
        <f>_xlfn.XLOOKUP(Table2[[#This Row],[Product ID]],Table1[Product ID],Table1[Size_ml])</f>
        <v>250ml</v>
      </c>
      <c r="I8" s="1">
        <f>_xlfn.XLOOKUP(Table2[[#This Row],[Product ID]],Table1[Product ID],Table1[Costprice])</f>
        <v>3000</v>
      </c>
      <c r="J8" s="1">
        <f>SUMIFS(Table3[Qty],Table3[Product ID],Table2[[#This Row],[Product ID]])</f>
        <v>14</v>
      </c>
      <c r="K8" s="1">
        <f>SUMIFS(Table4[Qty],Table4[Product ID],Table2[[#This Row],[Product ID]])</f>
        <v>0</v>
      </c>
      <c r="L8" s="1">
        <f>Table2[[#This Row],[Total Purchased]]-Table2[[#This Row],[Total Sold]]</f>
        <v>14</v>
      </c>
      <c r="M8" s="1" t="str">
        <f>IF(Table2[[#This Row],[Current Stock]]=0,"Out of Stock",IF(Table2[[#This Row],[Current Stock]]&lt;=5,"Low Stock","In Stock"))</f>
        <v>In Stock</v>
      </c>
    </row>
    <row r="9" spans="4:13" ht="15" customHeight="1" x14ac:dyDescent="0.35">
      <c r="D9" s="1" t="s">
        <v>194</v>
      </c>
      <c r="E9" s="1" t="str">
        <f>_xlfn.XLOOKUP(Table2[[#This Row],[Product ID]],Table1[Product ID],Table1[Category])</f>
        <v>Body Spray</v>
      </c>
      <c r="F9" s="1" t="str">
        <f>_xlfn.XLOOKUP(Table2[[#This Row],[Product ID]],Table1[Product ID],Table1[Brand])</f>
        <v>Confetti London</v>
      </c>
      <c r="G9" s="1" t="str">
        <f>_xlfn.XLOOKUP(Table2[[#This Row],[Product ID]],Table1[Product ID],Table1[Product Name])</f>
        <v>live</v>
      </c>
      <c r="H9" s="1" t="str">
        <f>_xlfn.XLOOKUP(Table2[[#This Row],[Product ID]],Table1[Product ID],Table1[Size_ml])</f>
        <v>250ml</v>
      </c>
      <c r="I9" s="1">
        <f>_xlfn.XLOOKUP(Table2[[#This Row],[Product ID]],Table1[Product ID],Table1[Costprice])</f>
        <v>3000</v>
      </c>
      <c r="J9" s="1">
        <f>SUMIFS(Table3[Qty],Table3[Product ID],Table2[[#This Row],[Product ID]])</f>
        <v>0</v>
      </c>
      <c r="K9" s="1">
        <f>SUMIFS(Table4[Qty],Table4[Product ID],Table2[[#This Row],[Product ID]])</f>
        <v>0</v>
      </c>
      <c r="L9" s="1">
        <f>Table2[[#This Row],[Total Purchased]]-Table2[[#This Row],[Total Sold]]</f>
        <v>0</v>
      </c>
      <c r="M9" s="1" t="str">
        <f>IF(Table2[[#This Row],[Current Stock]]=0,"Out of Stock",IF(Table2[[#This Row],[Current Stock]]&lt;=5,"Low Stock","In Stock"))</f>
        <v>Out of Stock</v>
      </c>
    </row>
    <row r="10" spans="4:13" ht="15" customHeight="1" x14ac:dyDescent="0.35">
      <c r="D10" s="1" t="s">
        <v>195</v>
      </c>
      <c r="E10" s="1" t="str">
        <f>_xlfn.XLOOKUP(Table2[[#This Row],[Product ID]],Table1[Product ID],Table1[Category])</f>
        <v>Body Spray</v>
      </c>
      <c r="F10" s="1" t="str">
        <f>_xlfn.XLOOKUP(Table2[[#This Row],[Product ID]],Table1[Product ID],Table1[Brand])</f>
        <v>Confetti London</v>
      </c>
      <c r="G10" s="1" t="str">
        <f>_xlfn.XLOOKUP(Table2[[#This Row],[Product ID]],Table1[Product ID],Table1[Product Name])</f>
        <v>you</v>
      </c>
      <c r="H10" s="1" t="str">
        <f>_xlfn.XLOOKUP(Table2[[#This Row],[Product ID]],Table1[Product ID],Table1[Size_ml])</f>
        <v>250ml</v>
      </c>
      <c r="I10" s="1">
        <f>_xlfn.XLOOKUP(Table2[[#This Row],[Product ID]],Table1[Product ID],Table1[Costprice])</f>
        <v>3000</v>
      </c>
      <c r="J10" s="1">
        <f>SUMIFS(Table3[Qty],Table3[Product ID],Table2[[#This Row],[Product ID]])</f>
        <v>20</v>
      </c>
      <c r="K10" s="1">
        <f>SUMIFS(Table4[Qty],Table4[Product ID],Table2[[#This Row],[Product ID]])</f>
        <v>0</v>
      </c>
      <c r="L10" s="1">
        <f>Table2[[#This Row],[Total Purchased]]-Table2[[#This Row],[Total Sold]]</f>
        <v>20</v>
      </c>
      <c r="M10" s="1" t="str">
        <f>IF(Table2[[#This Row],[Current Stock]]=0,"Out of Stock",IF(Table2[[#This Row],[Current Stock]]&lt;=5,"Low Stock","In Stock"))</f>
        <v>In Stock</v>
      </c>
    </row>
    <row r="11" spans="4:13" ht="15" customHeight="1" x14ac:dyDescent="0.35">
      <c r="D11" s="1" t="s">
        <v>196</v>
      </c>
      <c r="E11" s="1" t="str">
        <f>_xlfn.XLOOKUP(Table2[[#This Row],[Product ID]],Table1[Product ID],Table1[Category])</f>
        <v>Body Spray</v>
      </c>
      <c r="F11" s="1" t="str">
        <f>_xlfn.XLOOKUP(Table2[[#This Row],[Product ID]],Table1[Product ID],Table1[Brand])</f>
        <v>Confetti London</v>
      </c>
      <c r="G11" s="1" t="str">
        <f>_xlfn.XLOOKUP(Table2[[#This Row],[Product ID]],Table1[Product ID],Table1[Product Name])</f>
        <v>wish</v>
      </c>
      <c r="H11" s="1" t="str">
        <f>_xlfn.XLOOKUP(Table2[[#This Row],[Product ID]],Table1[Product ID],Table1[Size_ml])</f>
        <v>250ml</v>
      </c>
      <c r="I11" s="1">
        <f>_xlfn.XLOOKUP(Table2[[#This Row],[Product ID]],Table1[Product ID],Table1[Costprice])</f>
        <v>3000</v>
      </c>
      <c r="J11" s="1">
        <f>SUMIFS(Table3[Qty],Table3[Product ID],Table2[[#This Row],[Product ID]])</f>
        <v>30</v>
      </c>
      <c r="K11" s="1">
        <f>SUMIFS(Table4[Qty],Table4[Product ID],Table2[[#This Row],[Product ID]])</f>
        <v>0</v>
      </c>
      <c r="L11" s="1">
        <f>Table2[[#This Row],[Total Purchased]]-Table2[[#This Row],[Total Sold]]</f>
        <v>30</v>
      </c>
      <c r="M11" s="1" t="str">
        <f>IF(Table2[[#This Row],[Current Stock]]=0,"Out of Stock",IF(Table2[[#This Row],[Current Stock]]&lt;=5,"Low Stock","In Stock"))</f>
        <v>In Stock</v>
      </c>
    </row>
    <row r="12" spans="4:13" ht="15" customHeight="1" x14ac:dyDescent="0.35">
      <c r="D12" s="1" t="s">
        <v>197</v>
      </c>
      <c r="E12" s="1" t="str">
        <f>_xlfn.XLOOKUP(Table2[[#This Row],[Product ID]],Table1[Product ID],Table1[Category])</f>
        <v>Body Spray</v>
      </c>
      <c r="F12" s="1" t="str">
        <f>_xlfn.XLOOKUP(Table2[[#This Row],[Product ID]],Table1[Product ID],Table1[Brand])</f>
        <v>Confetti London</v>
      </c>
      <c r="G12" s="1" t="str">
        <f>_xlfn.XLOOKUP(Table2[[#This Row],[Product ID]],Table1[Product ID],Table1[Product Name])</f>
        <v>maple</v>
      </c>
      <c r="H12" s="1" t="str">
        <f>_xlfn.XLOOKUP(Table2[[#This Row],[Product ID]],Table1[Product ID],Table1[Size_ml])</f>
        <v>250ml</v>
      </c>
      <c r="I12" s="1">
        <f>_xlfn.XLOOKUP(Table2[[#This Row],[Product ID]],Table1[Product ID],Table1[Costprice])</f>
        <v>4000</v>
      </c>
      <c r="J12" s="1">
        <f>SUMIFS(Table3[Qty],Table3[Product ID],Table2[[#This Row],[Product ID]])</f>
        <v>24</v>
      </c>
      <c r="K12" s="1">
        <f>SUMIFS(Table4[Qty],Table4[Product ID],Table2[[#This Row],[Product ID]])</f>
        <v>0</v>
      </c>
      <c r="L12" s="1">
        <f>Table2[[#This Row],[Total Purchased]]-Table2[[#This Row],[Total Sold]]</f>
        <v>24</v>
      </c>
      <c r="M12" s="1" t="str">
        <f>IF(Table2[[#This Row],[Current Stock]]=0,"Out of Stock",IF(Table2[[#This Row],[Current Stock]]&lt;=5,"Low Stock","In Stock"))</f>
        <v>In Stock</v>
      </c>
    </row>
    <row r="13" spans="4:13" ht="15" customHeight="1" x14ac:dyDescent="0.35">
      <c r="D13" s="1" t="s">
        <v>198</v>
      </c>
      <c r="E13" s="1" t="str">
        <f>_xlfn.XLOOKUP(Table2[[#This Row],[Product ID]],Table1[Product ID],Table1[Category])</f>
        <v>Body Spray</v>
      </c>
      <c r="F13" s="1" t="str">
        <f>_xlfn.XLOOKUP(Table2[[#This Row],[Product ID]],Table1[Product ID],Table1[Brand])</f>
        <v>Smart Collection</v>
      </c>
      <c r="G13" s="1" t="str">
        <f>_xlfn.XLOOKUP(Table2[[#This Row],[Product ID]],Table1[Product ID],Table1[Product Name])</f>
        <v>No.02</v>
      </c>
      <c r="H13" s="1" t="str">
        <f>_xlfn.XLOOKUP(Table2[[#This Row],[Product ID]],Table1[Product ID],Table1[Size_ml])</f>
        <v>150ml</v>
      </c>
      <c r="I13" s="1">
        <f>_xlfn.XLOOKUP(Table2[[#This Row],[Product ID]],Table1[Product ID],Table1[Costprice])</f>
        <v>5500</v>
      </c>
      <c r="J13" s="1">
        <f>SUMIFS(Table3[Qty],Table3[Product ID],Table2[[#This Row],[Product ID]])</f>
        <v>0</v>
      </c>
      <c r="K13" s="1">
        <f>SUMIFS(Table4[Qty],Table4[Product ID],Table2[[#This Row],[Product ID]])</f>
        <v>0</v>
      </c>
      <c r="L13" s="1">
        <f>Table2[[#This Row],[Total Purchased]]-Table2[[#This Row],[Total Sold]]</f>
        <v>0</v>
      </c>
      <c r="M13" s="1" t="str">
        <f>IF(Table2[[#This Row],[Current Stock]]=0,"Out of Stock",IF(Table2[[#This Row],[Current Stock]]&lt;=5,"Low Stock","In Stock"))</f>
        <v>Out of Stock</v>
      </c>
    </row>
    <row r="14" spans="4:13" ht="15" customHeight="1" x14ac:dyDescent="0.35">
      <c r="D14" s="1" t="s">
        <v>199</v>
      </c>
      <c r="E14" s="1" t="str">
        <f>_xlfn.XLOOKUP(Table2[[#This Row],[Product ID]],Table1[Product ID],Table1[Category])</f>
        <v>Body Spray</v>
      </c>
      <c r="F14" s="1" t="str">
        <f>_xlfn.XLOOKUP(Table2[[#This Row],[Product ID]],Table1[Product ID],Table1[Brand])</f>
        <v>Smart Collection</v>
      </c>
      <c r="G14" s="1" t="str">
        <f>_xlfn.XLOOKUP(Table2[[#This Row],[Product ID]],Table1[Product ID],Table1[Product Name])</f>
        <v>No.06</v>
      </c>
      <c r="H14" s="1" t="str">
        <f>_xlfn.XLOOKUP(Table2[[#This Row],[Product ID]],Table1[Product ID],Table1[Size_ml])</f>
        <v>150ml</v>
      </c>
      <c r="I14" s="1">
        <f>_xlfn.XLOOKUP(Table2[[#This Row],[Product ID]],Table1[Product ID],Table1[Costprice])</f>
        <v>5500</v>
      </c>
      <c r="J14" s="1">
        <f>SUMIFS(Table3[Qty],Table3[Product ID],Table2[[#This Row],[Product ID]])</f>
        <v>22</v>
      </c>
      <c r="K14" s="1">
        <f>SUMIFS(Table4[Qty],Table4[Product ID],Table2[[#This Row],[Product ID]])</f>
        <v>20</v>
      </c>
      <c r="L14" s="1">
        <f>Table2[[#This Row],[Total Purchased]]-Table2[[#This Row],[Total Sold]]</f>
        <v>2</v>
      </c>
      <c r="M14" s="1" t="str">
        <f>IF(Table2[[#This Row],[Current Stock]]=0,"Out of Stock",IF(Table2[[#This Row],[Current Stock]]&lt;=5,"Low Stock","In Stock"))</f>
        <v>Low Stock</v>
      </c>
    </row>
    <row r="15" spans="4:13" ht="15" customHeight="1" x14ac:dyDescent="0.35">
      <c r="D15" s="1" t="s">
        <v>200</v>
      </c>
      <c r="E15" s="1" t="str">
        <f>_xlfn.XLOOKUP(Table2[[#This Row],[Product ID]],Table1[Product ID],Table1[Category])</f>
        <v>Body Spray</v>
      </c>
      <c r="F15" s="1" t="str">
        <f>_xlfn.XLOOKUP(Table2[[#This Row],[Product ID]],Table1[Product ID],Table1[Brand])</f>
        <v>Smart Collection</v>
      </c>
      <c r="G15" s="1" t="str">
        <f>_xlfn.XLOOKUP(Table2[[#This Row],[Product ID]],Table1[Product ID],Table1[Product Name])</f>
        <v>No.94</v>
      </c>
      <c r="H15" s="1" t="str">
        <f>_xlfn.XLOOKUP(Table2[[#This Row],[Product ID]],Table1[Product ID],Table1[Size_ml])</f>
        <v>150ml</v>
      </c>
      <c r="I15" s="1">
        <f>_xlfn.XLOOKUP(Table2[[#This Row],[Product ID]],Table1[Product ID],Table1[Costprice])</f>
        <v>7500</v>
      </c>
      <c r="J15" s="1">
        <f>SUMIFS(Table3[Qty],Table3[Product ID],Table2[[#This Row],[Product ID]])</f>
        <v>0</v>
      </c>
      <c r="K15" s="1">
        <f>SUMIFS(Table4[Qty],Table4[Product ID],Table2[[#This Row],[Product ID]])</f>
        <v>0</v>
      </c>
      <c r="L15" s="1">
        <f>Table2[[#This Row],[Total Purchased]]-Table2[[#This Row],[Total Sold]]</f>
        <v>0</v>
      </c>
      <c r="M15" s="1" t="str">
        <f>IF(Table2[[#This Row],[Current Stock]]=0,"Out of Stock",IF(Table2[[#This Row],[Current Stock]]&lt;=5,"Low Stock","In Stock"))</f>
        <v>Out of Stock</v>
      </c>
    </row>
    <row r="16" spans="4:13" ht="15" customHeight="1" x14ac:dyDescent="0.35">
      <c r="D16" s="1" t="s">
        <v>201</v>
      </c>
      <c r="E16" s="1" t="str">
        <f>_xlfn.XLOOKUP(Table2[[#This Row],[Product ID]],Table1[Product ID],Table1[Category])</f>
        <v>Body Spray</v>
      </c>
      <c r="F16" s="1" t="str">
        <f>_xlfn.XLOOKUP(Table2[[#This Row],[Product ID]],Table1[Product ID],Table1[Brand])</f>
        <v>Smart Collection</v>
      </c>
      <c r="G16" s="1" t="str">
        <f>_xlfn.XLOOKUP(Table2[[#This Row],[Product ID]],Table1[Product ID],Table1[Product Name])</f>
        <v>No.332</v>
      </c>
      <c r="H16" s="1" t="str">
        <f>_xlfn.XLOOKUP(Table2[[#This Row],[Product ID]],Table1[Product ID],Table1[Size_ml])</f>
        <v>150ml</v>
      </c>
      <c r="I16" s="1">
        <f>_xlfn.XLOOKUP(Table2[[#This Row],[Product ID]],Table1[Product ID],Table1[Costprice])</f>
        <v>6000</v>
      </c>
      <c r="J16" s="1">
        <f>SUMIFS(Table3[Qty],Table3[Product ID],Table2[[#This Row],[Product ID]])</f>
        <v>0</v>
      </c>
      <c r="K16" s="1">
        <f>SUMIFS(Table4[Qty],Table4[Product ID],Table2[[#This Row],[Product ID]])</f>
        <v>0</v>
      </c>
      <c r="L16" s="1">
        <f>Table2[[#This Row],[Total Purchased]]-Table2[[#This Row],[Total Sold]]</f>
        <v>0</v>
      </c>
      <c r="M16" s="1" t="str">
        <f>IF(Table2[[#This Row],[Current Stock]]=0,"Out of Stock",IF(Table2[[#This Row],[Current Stock]]&lt;=5,"Low Stock","In Stock"))</f>
        <v>Out of Stock</v>
      </c>
    </row>
    <row r="17" spans="4:13" ht="15" customHeight="1" x14ac:dyDescent="0.35">
      <c r="D17" s="1" t="s">
        <v>202</v>
      </c>
      <c r="E17" s="1" t="str">
        <f>_xlfn.XLOOKUP(Table2[[#This Row],[Product ID]],Table1[Product ID],Table1[Category])</f>
        <v>Body Spray</v>
      </c>
      <c r="F17" s="1" t="str">
        <f>_xlfn.XLOOKUP(Table2[[#This Row],[Product ID]],Table1[Product ID],Table1[Brand])</f>
        <v>Smart Collection</v>
      </c>
      <c r="G17" s="1" t="str">
        <f>_xlfn.XLOOKUP(Table2[[#This Row],[Product ID]],Table1[Product ID],Table1[Product Name])</f>
        <v>No.313</v>
      </c>
      <c r="H17" s="1" t="str">
        <f>_xlfn.XLOOKUP(Table2[[#This Row],[Product ID]],Table1[Product ID],Table1[Size_ml])</f>
        <v>150ml</v>
      </c>
      <c r="I17" s="1">
        <f>_xlfn.XLOOKUP(Table2[[#This Row],[Product ID]],Table1[Product ID],Table1[Costprice])</f>
        <v>4500</v>
      </c>
      <c r="J17" s="1">
        <f>SUMIFS(Table3[Qty],Table3[Product ID],Table2[[#This Row],[Product ID]])</f>
        <v>0</v>
      </c>
      <c r="K17" s="1">
        <f>SUMIFS(Table4[Qty],Table4[Product ID],Table2[[#This Row],[Product ID]])</f>
        <v>0</v>
      </c>
      <c r="L17" s="1">
        <f>Table2[[#This Row],[Total Purchased]]-Table2[[#This Row],[Total Sold]]</f>
        <v>0</v>
      </c>
      <c r="M17" s="1" t="str">
        <f>IF(Table2[[#This Row],[Current Stock]]=0,"Out of Stock",IF(Table2[[#This Row],[Current Stock]]&lt;=5,"Low Stock","In Stock"))</f>
        <v>Out of Stock</v>
      </c>
    </row>
    <row r="18" spans="4:13" ht="15" customHeight="1" x14ac:dyDescent="0.35">
      <c r="D18" s="1" t="s">
        <v>203</v>
      </c>
      <c r="E18" s="1" t="str">
        <f>_xlfn.XLOOKUP(Table2[[#This Row],[Product ID]],Table1[Product ID],Table1[Category])</f>
        <v>Body Spray</v>
      </c>
      <c r="F18" s="1" t="str">
        <f>_xlfn.XLOOKUP(Table2[[#This Row],[Product ID]],Table1[Product ID],Table1[Brand])</f>
        <v>Smart Collection</v>
      </c>
      <c r="G18" s="1" t="str">
        <f>_xlfn.XLOOKUP(Table2[[#This Row],[Product ID]],Table1[Product ID],Table1[Product Name])</f>
        <v>No.359</v>
      </c>
      <c r="H18" s="1" t="str">
        <f>_xlfn.XLOOKUP(Table2[[#This Row],[Product ID]],Table1[Product ID],Table1[Size_ml])</f>
        <v>150ml</v>
      </c>
      <c r="I18" s="1">
        <f>_xlfn.XLOOKUP(Table2[[#This Row],[Product ID]],Table1[Product ID],Table1[Costprice])</f>
        <v>3500</v>
      </c>
      <c r="J18" s="1">
        <f>SUMIFS(Table3[Qty],Table3[Product ID],Table2[[#This Row],[Product ID]])</f>
        <v>14</v>
      </c>
      <c r="K18" s="1">
        <f>SUMIFS(Table4[Qty],Table4[Product ID],Table2[[#This Row],[Product ID]])</f>
        <v>2</v>
      </c>
      <c r="L18" s="1">
        <f>Table2[[#This Row],[Total Purchased]]-Table2[[#This Row],[Total Sold]]</f>
        <v>12</v>
      </c>
      <c r="M18" s="1" t="str">
        <f>IF(Table2[[#This Row],[Current Stock]]=0,"Out of Stock",IF(Table2[[#This Row],[Current Stock]]&lt;=5,"Low Stock","In Stock"))</f>
        <v>In Stock</v>
      </c>
    </row>
    <row r="19" spans="4:13" ht="15" customHeight="1" x14ac:dyDescent="0.35">
      <c r="D19" s="1" t="s">
        <v>204</v>
      </c>
      <c r="E19" s="1" t="str">
        <f>_xlfn.XLOOKUP(Table2[[#This Row],[Product ID]],Table1[Product ID],Table1[Category])</f>
        <v>Body Spray</v>
      </c>
      <c r="F19" s="1" t="str">
        <f>_xlfn.XLOOKUP(Table2[[#This Row],[Product ID]],Table1[Product ID],Table1[Brand])</f>
        <v>Riggs</v>
      </c>
      <c r="G19" s="1" t="str">
        <f>_xlfn.XLOOKUP(Table2[[#This Row],[Product ID]],Table1[Product ID],Table1[Product Name])</f>
        <v>Patrol</v>
      </c>
      <c r="H19" s="1" t="str">
        <f>_xlfn.XLOOKUP(Table2[[#This Row],[Product ID]],Table1[Product ID],Table1[Size_ml])</f>
        <v>250ml</v>
      </c>
      <c r="I19" s="1">
        <f>_xlfn.XLOOKUP(Table2[[#This Row],[Product ID]],Table1[Product ID],Table1[Costprice])</f>
        <v>2700</v>
      </c>
      <c r="J19" s="1">
        <f>SUMIFS(Table3[Qty],Table3[Product ID],Table2[[#This Row],[Product ID]])</f>
        <v>20</v>
      </c>
      <c r="K19" s="1">
        <f>SUMIFS(Table4[Qty],Table4[Product ID],Table2[[#This Row],[Product ID]])</f>
        <v>10</v>
      </c>
      <c r="L19" s="1">
        <f>Table2[[#This Row],[Total Purchased]]-Table2[[#This Row],[Total Sold]]</f>
        <v>10</v>
      </c>
      <c r="M19" s="1" t="str">
        <f>IF(Table2[[#This Row],[Current Stock]]=0,"Out of Stock",IF(Table2[[#This Row],[Current Stock]]&lt;=5,"Low Stock","In Stock"))</f>
        <v>In Stock</v>
      </c>
    </row>
    <row r="20" spans="4:13" ht="15" customHeight="1" x14ac:dyDescent="0.35">
      <c r="D20" s="1" t="s">
        <v>205</v>
      </c>
      <c r="E20" s="1" t="str">
        <f>_xlfn.XLOOKUP(Table2[[#This Row],[Product ID]],Table1[Product ID],Table1[Category])</f>
        <v>Body Spray</v>
      </c>
      <c r="F20" s="1" t="str">
        <f>_xlfn.XLOOKUP(Table2[[#This Row],[Product ID]],Table1[Product ID],Table1[Brand])</f>
        <v>Riggs</v>
      </c>
      <c r="G20" s="1" t="str">
        <f>_xlfn.XLOOKUP(Table2[[#This Row],[Product ID]],Table1[Product ID],Table1[Product Name])</f>
        <v>Power</v>
      </c>
      <c r="H20" s="1" t="str">
        <f>_xlfn.XLOOKUP(Table2[[#This Row],[Product ID]],Table1[Product ID],Table1[Size_ml])</f>
        <v>250ml</v>
      </c>
      <c r="I20" s="1">
        <f>_xlfn.XLOOKUP(Table2[[#This Row],[Product ID]],Table1[Product ID],Table1[Costprice])</f>
        <v>2700</v>
      </c>
      <c r="J20" s="1">
        <f>SUMIFS(Table3[Qty],Table3[Product ID],Table2[[#This Row],[Product ID]])</f>
        <v>10</v>
      </c>
      <c r="K20" s="1">
        <f>SUMIFS(Table4[Qty],Table4[Product ID],Table2[[#This Row],[Product ID]])</f>
        <v>0</v>
      </c>
      <c r="L20" s="1">
        <f>Table2[[#This Row],[Total Purchased]]-Table2[[#This Row],[Total Sold]]</f>
        <v>10</v>
      </c>
      <c r="M20" s="1" t="str">
        <f>IF(Table2[[#This Row],[Current Stock]]=0,"Out of Stock",IF(Table2[[#This Row],[Current Stock]]&lt;=5,"Low Stock","In Stock"))</f>
        <v>In Stock</v>
      </c>
    </row>
    <row r="21" spans="4:13" ht="15" customHeight="1" x14ac:dyDescent="0.35">
      <c r="D21" s="1" t="s">
        <v>206</v>
      </c>
      <c r="E21" s="1" t="str">
        <f>_xlfn.XLOOKUP(Table2[[#This Row],[Product ID]],Table1[Product ID],Table1[Category])</f>
        <v>Body Spray</v>
      </c>
      <c r="F21" s="1" t="str">
        <f>_xlfn.XLOOKUP(Table2[[#This Row],[Product ID]],Table1[Product ID],Table1[Brand])</f>
        <v>Riggs</v>
      </c>
      <c r="G21" s="1" t="str">
        <f>_xlfn.XLOOKUP(Table2[[#This Row],[Product ID]],Table1[Product ID],Table1[Product Name])</f>
        <v>Only</v>
      </c>
      <c r="H21" s="1" t="str">
        <f>_xlfn.XLOOKUP(Table2[[#This Row],[Product ID]],Table1[Product ID],Table1[Size_ml])</f>
        <v>250ml</v>
      </c>
      <c r="I21" s="1">
        <f>_xlfn.XLOOKUP(Table2[[#This Row],[Product ID]],Table1[Product ID],Table1[Costprice])</f>
        <v>2700</v>
      </c>
      <c r="J21" s="1">
        <f>SUMIFS(Table3[Qty],Table3[Product ID],Table2[[#This Row],[Product ID]])</f>
        <v>0</v>
      </c>
      <c r="K21" s="1">
        <f>SUMIFS(Table4[Qty],Table4[Product ID],Table2[[#This Row],[Product ID]])</f>
        <v>0</v>
      </c>
      <c r="L21" s="1">
        <f>Table2[[#This Row],[Total Purchased]]-Table2[[#This Row],[Total Sold]]</f>
        <v>0</v>
      </c>
      <c r="M21" s="1" t="str">
        <f>IF(Table2[[#This Row],[Current Stock]]=0,"Out of Stock",IF(Table2[[#This Row],[Current Stock]]&lt;=5,"Low Stock","In Stock"))</f>
        <v>Out of Stock</v>
      </c>
    </row>
    <row r="22" spans="4:13" ht="15" customHeight="1" x14ac:dyDescent="0.35">
      <c r="D22" s="1" t="s">
        <v>207</v>
      </c>
      <c r="E22" s="1" t="str">
        <f>_xlfn.XLOOKUP(Table2[[#This Row],[Product ID]],Table1[Product ID],Table1[Category])</f>
        <v>Body Spray</v>
      </c>
      <c r="F22" s="1" t="str">
        <f>_xlfn.XLOOKUP(Table2[[#This Row],[Product ID]],Table1[Product ID],Table1[Brand])</f>
        <v>Riggs</v>
      </c>
      <c r="G22" s="1" t="str">
        <f>_xlfn.XLOOKUP(Table2[[#This Row],[Product ID]],Table1[Product ID],Table1[Product Name])</f>
        <v>Dynamo</v>
      </c>
      <c r="H22" s="1" t="str">
        <f>_xlfn.XLOOKUP(Table2[[#This Row],[Product ID]],Table1[Product ID],Table1[Size_ml])</f>
        <v>250ml</v>
      </c>
      <c r="I22" s="1">
        <f>_xlfn.XLOOKUP(Table2[[#This Row],[Product ID]],Table1[Product ID],Table1[Costprice])</f>
        <v>2700</v>
      </c>
      <c r="J22" s="1">
        <f>SUMIFS(Table3[Qty],Table3[Product ID],Table2[[#This Row],[Product ID]])</f>
        <v>26</v>
      </c>
      <c r="K22" s="1">
        <f>SUMIFS(Table4[Qty],Table4[Product ID],Table2[[#This Row],[Product ID]])</f>
        <v>2</v>
      </c>
      <c r="L22" s="1">
        <f>Table2[[#This Row],[Total Purchased]]-Table2[[#This Row],[Total Sold]]</f>
        <v>24</v>
      </c>
      <c r="M22" s="1" t="str">
        <f>IF(Table2[[#This Row],[Current Stock]]=0,"Out of Stock",IF(Table2[[#This Row],[Current Stock]]&lt;=5,"Low Stock","In Stock"))</f>
        <v>In Stock</v>
      </c>
    </row>
    <row r="23" spans="4:13" ht="15" customHeight="1" x14ac:dyDescent="0.35">
      <c r="D23" s="1" t="s">
        <v>208</v>
      </c>
      <c r="E23" s="1" t="str">
        <f>_xlfn.XLOOKUP(Table2[[#This Row],[Product ID]],Table1[Product ID],Table1[Category])</f>
        <v>Body Spray</v>
      </c>
      <c r="F23" s="1" t="str">
        <f>_xlfn.XLOOKUP(Table2[[#This Row],[Product ID]],Table1[Product ID],Table1[Brand])</f>
        <v>Riggs</v>
      </c>
      <c r="G23" s="1" t="str">
        <f>_xlfn.XLOOKUP(Table2[[#This Row],[Product ID]],Table1[Product ID],Table1[Product Name])</f>
        <v>Voyage</v>
      </c>
      <c r="H23" s="1" t="str">
        <f>_xlfn.XLOOKUP(Table2[[#This Row],[Product ID]],Table1[Product ID],Table1[Size_ml])</f>
        <v>250ml</v>
      </c>
      <c r="I23" s="1">
        <f>_xlfn.XLOOKUP(Table2[[#This Row],[Product ID]],Table1[Product ID],Table1[Costprice])</f>
        <v>2700</v>
      </c>
      <c r="J23" s="1">
        <f>SUMIFS(Table3[Qty],Table3[Product ID],Table2[[#This Row],[Product ID]])</f>
        <v>14</v>
      </c>
      <c r="K23" s="1">
        <f>SUMIFS(Table4[Qty],Table4[Product ID],Table2[[#This Row],[Product ID]])</f>
        <v>5</v>
      </c>
      <c r="L23" s="1">
        <f>Table2[[#This Row],[Total Purchased]]-Table2[[#This Row],[Total Sold]]</f>
        <v>9</v>
      </c>
      <c r="M23" s="1" t="str">
        <f>IF(Table2[[#This Row],[Current Stock]]=0,"Out of Stock",IF(Table2[[#This Row],[Current Stock]]&lt;=5,"Low Stock","In Stock"))</f>
        <v>In Stock</v>
      </c>
    </row>
    <row r="24" spans="4:13" ht="15" customHeight="1" x14ac:dyDescent="0.35">
      <c r="D24" s="1" t="s">
        <v>209</v>
      </c>
      <c r="E24" s="1" t="str">
        <f>_xlfn.XLOOKUP(Table2[[#This Row],[Product ID]],Table1[Product ID],Table1[Category])</f>
        <v>Body Spray</v>
      </c>
      <c r="F24" s="1" t="str">
        <f>_xlfn.XLOOKUP(Table2[[#This Row],[Product ID]],Table1[Product ID],Table1[Brand])</f>
        <v>Dear body</v>
      </c>
      <c r="G24" s="1" t="str">
        <f>_xlfn.XLOOKUP(Table2[[#This Row],[Product ID]],Table1[Product ID],Table1[Product Name])</f>
        <v>vanilla</v>
      </c>
      <c r="H24" s="1" t="str">
        <f>_xlfn.XLOOKUP(Table2[[#This Row],[Product ID]],Table1[Product ID],Table1[Size_ml])</f>
        <v>250ml</v>
      </c>
      <c r="I24" s="1">
        <f>_xlfn.XLOOKUP(Table2[[#This Row],[Product ID]],Table1[Product ID],Table1[Costprice])</f>
        <v>2800</v>
      </c>
      <c r="J24" s="1">
        <f>SUMIFS(Table3[Qty],Table3[Product ID],Table2[[#This Row],[Product ID]])</f>
        <v>20</v>
      </c>
      <c r="K24" s="1">
        <f>SUMIFS(Table4[Qty],Table4[Product ID],Table2[[#This Row],[Product ID]])</f>
        <v>10</v>
      </c>
      <c r="L24" s="1">
        <f>Table2[[#This Row],[Total Purchased]]-Table2[[#This Row],[Total Sold]]</f>
        <v>10</v>
      </c>
      <c r="M24" s="1" t="str">
        <f>IF(Table2[[#This Row],[Current Stock]]=0,"Out of Stock",IF(Table2[[#This Row],[Current Stock]]&lt;=5,"Low Stock","In Stock"))</f>
        <v>In Stock</v>
      </c>
    </row>
    <row r="25" spans="4:13" ht="15" customHeight="1" x14ac:dyDescent="0.35">
      <c r="D25" s="1" t="s">
        <v>210</v>
      </c>
      <c r="E25" s="1" t="str">
        <f>_xlfn.XLOOKUP(Table2[[#This Row],[Product ID]],Table1[Product ID],Table1[Category])</f>
        <v>Body Spray</v>
      </c>
      <c r="F25" s="1" t="str">
        <f>_xlfn.XLOOKUP(Table2[[#This Row],[Product ID]],Table1[Product ID],Table1[Brand])</f>
        <v>Dear body</v>
      </c>
      <c r="G25" s="1" t="str">
        <f>_xlfn.XLOOKUP(Table2[[#This Row],[Product ID]],Table1[Product ID],Table1[Product Name])</f>
        <v>candy</v>
      </c>
      <c r="H25" s="1" t="str">
        <f>_xlfn.XLOOKUP(Table2[[#This Row],[Product ID]],Table1[Product ID],Table1[Size_ml])</f>
        <v>250ml</v>
      </c>
      <c r="I25" s="1">
        <f>_xlfn.XLOOKUP(Table2[[#This Row],[Product ID]],Table1[Product ID],Table1[Costprice])</f>
        <v>2800</v>
      </c>
      <c r="J25" s="1">
        <f>SUMIFS(Table3[Qty],Table3[Product ID],Table2[[#This Row],[Product ID]])</f>
        <v>0</v>
      </c>
      <c r="K25" s="1">
        <f>SUMIFS(Table4[Qty],Table4[Product ID],Table2[[#This Row],[Product ID]])</f>
        <v>0</v>
      </c>
      <c r="L25" s="1">
        <f>Table2[[#This Row],[Total Purchased]]-Table2[[#This Row],[Total Sold]]</f>
        <v>0</v>
      </c>
      <c r="M25" s="1" t="str">
        <f>IF(Table2[[#This Row],[Current Stock]]=0,"Out of Stock",IF(Table2[[#This Row],[Current Stock]]&lt;=5,"Low Stock","In Stock"))</f>
        <v>Out of Stock</v>
      </c>
    </row>
    <row r="26" spans="4:13" ht="15" customHeight="1" x14ac:dyDescent="0.35">
      <c r="D26" s="1" t="s">
        <v>211</v>
      </c>
      <c r="E26" s="1" t="str">
        <f>_xlfn.XLOOKUP(Table2[[#This Row],[Product ID]],Table1[Product ID],Table1[Category])</f>
        <v>Body Spray</v>
      </c>
      <c r="F26" s="1" t="str">
        <f>_xlfn.XLOOKUP(Table2[[#This Row],[Product ID]],Table1[Product ID],Table1[Brand])</f>
        <v>Dear body</v>
      </c>
      <c r="G26" s="1" t="str">
        <f>_xlfn.XLOOKUP(Table2[[#This Row],[Product ID]],Table1[Product ID],Table1[Product Name])</f>
        <v>citrus</v>
      </c>
      <c r="H26" s="1" t="str">
        <f>_xlfn.XLOOKUP(Table2[[#This Row],[Product ID]],Table1[Product ID],Table1[Size_ml])</f>
        <v>250ml</v>
      </c>
      <c r="I26" s="1">
        <f>_xlfn.XLOOKUP(Table2[[#This Row],[Product ID]],Table1[Product ID],Table1[Costprice])</f>
        <v>2800</v>
      </c>
      <c r="J26" s="1">
        <f>SUMIFS(Table3[Qty],Table3[Product ID],Table2[[#This Row],[Product ID]])</f>
        <v>20</v>
      </c>
      <c r="K26" s="1">
        <f>SUMIFS(Table4[Qty],Table4[Product ID],Table2[[#This Row],[Product ID]])</f>
        <v>1</v>
      </c>
      <c r="L26" s="1">
        <f>Table2[[#This Row],[Total Purchased]]-Table2[[#This Row],[Total Sold]]</f>
        <v>19</v>
      </c>
      <c r="M26" s="1" t="str">
        <f>IF(Table2[[#This Row],[Current Stock]]=0,"Out of Stock",IF(Table2[[#This Row],[Current Stock]]&lt;=5,"Low Stock","In Stock"))</f>
        <v>In Stock</v>
      </c>
    </row>
    <row r="27" spans="4:13" ht="15" customHeight="1" x14ac:dyDescent="0.35">
      <c r="D27" s="1" t="s">
        <v>212</v>
      </c>
      <c r="E27" s="1" t="str">
        <f>_xlfn.XLOOKUP(Table2[[#This Row],[Product ID]],Table1[Product ID],Table1[Category])</f>
        <v>Body Spray</v>
      </c>
      <c r="F27" s="1" t="str">
        <f>_xlfn.XLOOKUP(Table2[[#This Row],[Product ID]],Table1[Product ID],Table1[Brand])</f>
        <v>Dear body</v>
      </c>
      <c r="G27" s="1" t="str">
        <f>_xlfn.XLOOKUP(Table2[[#This Row],[Product ID]],Table1[Product ID],Table1[Product Name])</f>
        <v>apple</v>
      </c>
      <c r="H27" s="1" t="str">
        <f>_xlfn.XLOOKUP(Table2[[#This Row],[Product ID]],Table1[Product ID],Table1[Size_ml])</f>
        <v>250ml</v>
      </c>
      <c r="I27" s="1">
        <f>_xlfn.XLOOKUP(Table2[[#This Row],[Product ID]],Table1[Product ID],Table1[Costprice])</f>
        <v>2800</v>
      </c>
      <c r="J27" s="1">
        <f>SUMIFS(Table3[Qty],Table3[Product ID],Table2[[#This Row],[Product ID]])</f>
        <v>20</v>
      </c>
      <c r="K27" s="1">
        <f>SUMIFS(Table4[Qty],Table4[Product ID],Table2[[#This Row],[Product ID]])</f>
        <v>0</v>
      </c>
      <c r="L27" s="1">
        <f>Table2[[#This Row],[Total Purchased]]-Table2[[#This Row],[Total Sold]]</f>
        <v>20</v>
      </c>
      <c r="M27" s="1" t="str">
        <f>IF(Table2[[#This Row],[Current Stock]]=0,"Out of Stock",IF(Table2[[#This Row],[Current Stock]]&lt;=5,"Low Stock","In Stock"))</f>
        <v>In Stock</v>
      </c>
    </row>
    <row r="28" spans="4:13" ht="15" customHeight="1" x14ac:dyDescent="0.35">
      <c r="D28" s="1" t="s">
        <v>213</v>
      </c>
      <c r="E28" s="1" t="str">
        <f>_xlfn.XLOOKUP(Table2[[#This Row],[Product ID]],Table1[Product ID],Table1[Category])</f>
        <v>Perfume</v>
      </c>
      <c r="F28" s="1" t="str">
        <f>_xlfn.XLOOKUP(Table2[[#This Row],[Product ID]],Table1[Product ID],Table1[Brand])</f>
        <v>Smart Collection</v>
      </c>
      <c r="G28" s="1" t="str">
        <f>_xlfn.XLOOKUP(Table2[[#This Row],[Product ID]],Table1[Product ID],Table1[Product Name])</f>
        <v>No.814</v>
      </c>
      <c r="H28" s="1" t="str">
        <f>_xlfn.XLOOKUP(Table2[[#This Row],[Product ID]],Table1[Product ID],Table1[Size_ml])</f>
        <v>100ml</v>
      </c>
      <c r="I28" s="1">
        <f>_xlfn.XLOOKUP(Table2[[#This Row],[Product ID]],Table1[Product ID],Table1[Costprice])</f>
        <v>6500</v>
      </c>
      <c r="J28" s="1">
        <f>SUMIFS(Table3[Qty],Table3[Product ID],Table2[[#This Row],[Product ID]])</f>
        <v>22</v>
      </c>
      <c r="K28" s="1">
        <f>SUMIFS(Table4[Qty],Table4[Product ID],Table2[[#This Row],[Product ID]])</f>
        <v>0</v>
      </c>
      <c r="L28" s="1">
        <f>Table2[[#This Row],[Total Purchased]]-Table2[[#This Row],[Total Sold]]</f>
        <v>22</v>
      </c>
      <c r="M28" s="1" t="str">
        <f>IF(Table2[[#This Row],[Current Stock]]=0,"Out of Stock",IF(Table2[[#This Row],[Current Stock]]&lt;=5,"Low Stock","In Stock"))</f>
        <v>In Stock</v>
      </c>
    </row>
    <row r="29" spans="4:13" ht="15" customHeight="1" x14ac:dyDescent="0.35">
      <c r="D29" s="1" t="s">
        <v>214</v>
      </c>
      <c r="E29" s="1" t="str">
        <f>_xlfn.XLOOKUP(Table2[[#This Row],[Product ID]],Table1[Product ID],Table1[Category])</f>
        <v>Perfume</v>
      </c>
      <c r="F29" s="1" t="str">
        <f>_xlfn.XLOOKUP(Table2[[#This Row],[Product ID]],Table1[Product ID],Table1[Brand])</f>
        <v>Smart Collection</v>
      </c>
      <c r="G29" s="1" t="str">
        <f>_xlfn.XLOOKUP(Table2[[#This Row],[Product ID]],Table1[Product ID],Table1[Product Name])</f>
        <v>No.845</v>
      </c>
      <c r="H29" s="1" t="str">
        <f>_xlfn.XLOOKUP(Table2[[#This Row],[Product ID]],Table1[Product ID],Table1[Size_ml])</f>
        <v>100ml</v>
      </c>
      <c r="I29" s="1">
        <f>_xlfn.XLOOKUP(Table2[[#This Row],[Product ID]],Table1[Product ID],Table1[Costprice])</f>
        <v>5700</v>
      </c>
      <c r="J29" s="1">
        <f>SUMIFS(Table3[Qty],Table3[Product ID],Table2[[#This Row],[Product ID]])</f>
        <v>18</v>
      </c>
      <c r="K29" s="1">
        <f>SUMIFS(Table4[Qty],Table4[Product ID],Table2[[#This Row],[Product ID]])</f>
        <v>2</v>
      </c>
      <c r="L29" s="1">
        <f>Table2[[#This Row],[Total Purchased]]-Table2[[#This Row],[Total Sold]]</f>
        <v>16</v>
      </c>
      <c r="M29" s="1" t="str">
        <f>IF(Table2[[#This Row],[Current Stock]]=0,"Out of Stock",IF(Table2[[#This Row],[Current Stock]]&lt;=5,"Low Stock","In Stock"))</f>
        <v>In Stock</v>
      </c>
    </row>
    <row r="30" spans="4:13" ht="15" customHeight="1" x14ac:dyDescent="0.35">
      <c r="D30" s="1" t="s">
        <v>215</v>
      </c>
      <c r="E30" s="1" t="str">
        <f>_xlfn.XLOOKUP(Table2[[#This Row],[Product ID]],Table1[Product ID],Table1[Category])</f>
        <v>Perfume</v>
      </c>
      <c r="F30" s="1" t="str">
        <f>_xlfn.XLOOKUP(Table2[[#This Row],[Product ID]],Table1[Product ID],Table1[Brand])</f>
        <v>Smart Collection</v>
      </c>
      <c r="G30" s="1" t="str">
        <f>_xlfn.XLOOKUP(Table2[[#This Row],[Product ID]],Table1[Product ID],Table1[Product Name])</f>
        <v>No.816</v>
      </c>
      <c r="H30" s="1" t="str">
        <f>_xlfn.XLOOKUP(Table2[[#This Row],[Product ID]],Table1[Product ID],Table1[Size_ml])</f>
        <v>100ml</v>
      </c>
      <c r="I30" s="1">
        <f>_xlfn.XLOOKUP(Table2[[#This Row],[Product ID]],Table1[Product ID],Table1[Costprice])</f>
        <v>6000</v>
      </c>
      <c r="J30" s="1">
        <f>SUMIFS(Table3[Qty],Table3[Product ID],Table2[[#This Row],[Product ID]])</f>
        <v>0</v>
      </c>
      <c r="K30" s="1">
        <f>SUMIFS(Table4[Qty],Table4[Product ID],Table2[[#This Row],[Product ID]])</f>
        <v>8</v>
      </c>
      <c r="L30" s="1">
        <f>Table2[[#This Row],[Total Purchased]]-Table2[[#This Row],[Total Sold]]</f>
        <v>-8</v>
      </c>
      <c r="M30" s="1" t="str">
        <f>IF(Table2[[#This Row],[Current Stock]]=0,"Out of Stock",IF(Table2[[#This Row],[Current Stock]]&lt;=5,"Low Stock","In Stock"))</f>
        <v>Low Stock</v>
      </c>
    </row>
    <row r="31" spans="4:13" ht="15" customHeight="1" x14ac:dyDescent="0.35">
      <c r="D31" s="1" t="s">
        <v>216</v>
      </c>
      <c r="E31" s="1" t="str">
        <f>_xlfn.XLOOKUP(Table2[[#This Row],[Product ID]],Table1[Product ID],Table1[Category])</f>
        <v>Perfume</v>
      </c>
      <c r="F31" s="1" t="str">
        <f>_xlfn.XLOOKUP(Table2[[#This Row],[Product ID]],Table1[Product ID],Table1[Brand])</f>
        <v>Smart Collection</v>
      </c>
      <c r="G31" s="1" t="str">
        <f>_xlfn.XLOOKUP(Table2[[#This Row],[Product ID]],Table1[Product ID],Table1[Product Name])</f>
        <v>No.813</v>
      </c>
      <c r="H31" s="1" t="str">
        <f>_xlfn.XLOOKUP(Table2[[#This Row],[Product ID]],Table1[Product ID],Table1[Size_ml])</f>
        <v>100ml</v>
      </c>
      <c r="I31" s="1">
        <f>_xlfn.XLOOKUP(Table2[[#This Row],[Product ID]],Table1[Product ID],Table1[Costprice])</f>
        <v>5600</v>
      </c>
      <c r="J31" s="1">
        <f>SUMIFS(Table3[Qty],Table3[Product ID],Table2[[#This Row],[Product ID]])</f>
        <v>0</v>
      </c>
      <c r="K31" s="1">
        <f>SUMIFS(Table4[Qty],Table4[Product ID],Table2[[#This Row],[Product ID]])</f>
        <v>0</v>
      </c>
      <c r="L31" s="1">
        <f>Table2[[#This Row],[Total Purchased]]-Table2[[#This Row],[Total Sold]]</f>
        <v>0</v>
      </c>
      <c r="M31" s="1" t="str">
        <f>IF(Table2[[#This Row],[Current Stock]]=0,"Out of Stock",IF(Table2[[#This Row],[Current Stock]]&lt;=5,"Low Stock","In Stock"))</f>
        <v>Out of Stock</v>
      </c>
    </row>
    <row r="32" spans="4:13" ht="15" customHeight="1" x14ac:dyDescent="0.35">
      <c r="D32" s="1" t="s">
        <v>217</v>
      </c>
      <c r="E32" s="1" t="str">
        <f>_xlfn.XLOOKUP(Table2[[#This Row],[Product ID]],Table1[Product ID],Table1[Category])</f>
        <v>Perfume</v>
      </c>
      <c r="F32" s="1" t="str">
        <f>_xlfn.XLOOKUP(Table2[[#This Row],[Product ID]],Table1[Product ID],Table1[Brand])</f>
        <v>Smart Collection</v>
      </c>
      <c r="G32" s="1" t="str">
        <f>_xlfn.XLOOKUP(Table2[[#This Row],[Product ID]],Table1[Product ID],Table1[Product Name])</f>
        <v>No.818</v>
      </c>
      <c r="H32" s="1" t="str">
        <f>_xlfn.XLOOKUP(Table2[[#This Row],[Product ID]],Table1[Product ID],Table1[Size_ml])</f>
        <v>100ml</v>
      </c>
      <c r="I32" s="1">
        <f>_xlfn.XLOOKUP(Table2[[#This Row],[Product ID]],Table1[Product ID],Table1[Costprice])</f>
        <v>4500</v>
      </c>
      <c r="J32" s="1">
        <f>SUMIFS(Table3[Qty],Table3[Product ID],Table2[[#This Row],[Product ID]])</f>
        <v>24</v>
      </c>
      <c r="K32" s="1">
        <f>SUMIFS(Table4[Qty],Table4[Product ID],Table2[[#This Row],[Product ID]])</f>
        <v>24</v>
      </c>
      <c r="L32" s="1">
        <f>Table2[[#This Row],[Total Purchased]]-Table2[[#This Row],[Total Sold]]</f>
        <v>0</v>
      </c>
      <c r="M32" s="1" t="str">
        <f>IF(Table2[[#This Row],[Current Stock]]=0,"Out of Stock",IF(Table2[[#This Row],[Current Stock]]&lt;=5,"Low Stock","In Stock"))</f>
        <v>Out of Stock</v>
      </c>
    </row>
    <row r="33" spans="4:13" ht="15" customHeight="1" x14ac:dyDescent="0.35">
      <c r="D33" s="1" t="s">
        <v>218</v>
      </c>
      <c r="E33" s="1" t="str">
        <f>_xlfn.XLOOKUP(Table2[[#This Row],[Product ID]],Table1[Product ID],Table1[Category])</f>
        <v>Perfume</v>
      </c>
      <c r="F33" s="1" t="str">
        <f>_xlfn.XLOOKUP(Table2[[#This Row],[Product ID]],Table1[Product ID],Table1[Brand])</f>
        <v>Fragrance Deluxe</v>
      </c>
      <c r="G33" s="1" t="str">
        <f>_xlfn.XLOOKUP(Table2[[#This Row],[Product ID]],Table1[Product ID],Table1[Product Name])</f>
        <v>My her</v>
      </c>
      <c r="H33" s="1" t="str">
        <f>_xlfn.XLOOKUP(Table2[[#This Row],[Product ID]],Table1[Product ID],Table1[Size_ml])</f>
        <v>100ml</v>
      </c>
      <c r="I33" s="1">
        <f>_xlfn.XLOOKUP(Table2[[#This Row],[Product ID]],Table1[Product ID],Table1[Costprice])</f>
        <v>15000</v>
      </c>
      <c r="J33" s="1">
        <f>SUMIFS(Table3[Qty],Table3[Product ID],Table2[[#This Row],[Product ID]])</f>
        <v>20</v>
      </c>
      <c r="K33" s="1">
        <f>SUMIFS(Table4[Qty],Table4[Product ID],Table2[[#This Row],[Product ID]])</f>
        <v>15</v>
      </c>
      <c r="L33" s="1">
        <f>Table2[[#This Row],[Total Purchased]]-Table2[[#This Row],[Total Sold]]</f>
        <v>5</v>
      </c>
      <c r="M33" s="1" t="str">
        <f>IF(Table2[[#This Row],[Current Stock]]=0,"Out of Stock",IF(Table2[[#This Row],[Current Stock]]&lt;=5,"Low Stock","In Stock"))</f>
        <v>Low Stock</v>
      </c>
    </row>
    <row r="34" spans="4:13" ht="15" customHeight="1" x14ac:dyDescent="0.35">
      <c r="D34" s="1" t="s">
        <v>219</v>
      </c>
      <c r="E34" s="1" t="str">
        <f>_xlfn.XLOOKUP(Table2[[#This Row],[Product ID]],Table1[Product ID],Table1[Category])</f>
        <v>Perfume</v>
      </c>
      <c r="F34" s="1" t="str">
        <f>_xlfn.XLOOKUP(Table2[[#This Row],[Product ID]],Table1[Product ID],Table1[Brand])</f>
        <v>Fragrance Deluxe</v>
      </c>
      <c r="G34" s="1" t="str">
        <f>_xlfn.XLOOKUP(Table2[[#This Row],[Product ID]],Table1[Product ID],Table1[Product Name])</f>
        <v>I'm king</v>
      </c>
      <c r="H34" s="1" t="str">
        <f>_xlfn.XLOOKUP(Table2[[#This Row],[Product ID]],Table1[Product ID],Table1[Size_ml])</f>
        <v>100ml</v>
      </c>
      <c r="I34" s="1">
        <f>_xlfn.XLOOKUP(Table2[[#This Row],[Product ID]],Table1[Product ID],Table1[Costprice])</f>
        <v>12000</v>
      </c>
      <c r="J34" s="1">
        <f>SUMIFS(Table3[Qty],Table3[Product ID],Table2[[#This Row],[Product ID]])</f>
        <v>10</v>
      </c>
      <c r="K34" s="1">
        <f>SUMIFS(Table4[Qty],Table4[Product ID],Table2[[#This Row],[Product ID]])</f>
        <v>0</v>
      </c>
      <c r="L34" s="1">
        <f>Table2[[#This Row],[Total Purchased]]-Table2[[#This Row],[Total Sold]]</f>
        <v>10</v>
      </c>
      <c r="M34" s="1" t="str">
        <f>IF(Table2[[#This Row],[Current Stock]]=0,"Out of Stock",IF(Table2[[#This Row],[Current Stock]]&lt;=5,"Low Stock","In Stock"))</f>
        <v>In Stock</v>
      </c>
    </row>
    <row r="35" spans="4:13" ht="15" customHeight="1" x14ac:dyDescent="0.35">
      <c r="D35" s="1" t="s">
        <v>220</v>
      </c>
      <c r="E35" s="1" t="str">
        <f>_xlfn.XLOOKUP(Table2[[#This Row],[Product ID]],Table1[Product ID],Table1[Category])</f>
        <v>Perfume</v>
      </c>
      <c r="F35" s="1" t="str">
        <f>_xlfn.XLOOKUP(Table2[[#This Row],[Product ID]],Table1[Product ID],Table1[Brand])</f>
        <v>Fragrance Deluxe</v>
      </c>
      <c r="G35" s="1" t="str">
        <f>_xlfn.XLOOKUP(Table2[[#This Row],[Product ID]],Table1[Product ID],Table1[Product Name])</f>
        <v>magic</v>
      </c>
      <c r="H35" s="1" t="str">
        <f>_xlfn.XLOOKUP(Table2[[#This Row],[Product ID]],Table1[Product ID],Table1[Size_ml])</f>
        <v>100ml</v>
      </c>
      <c r="I35" s="1">
        <f>_xlfn.XLOOKUP(Table2[[#This Row],[Product ID]],Table1[Product ID],Table1[Costprice])</f>
        <v>9500</v>
      </c>
      <c r="J35" s="1">
        <f>SUMIFS(Table3[Qty],Table3[Product ID],Table2[[#This Row],[Product ID]])</f>
        <v>10</v>
      </c>
      <c r="K35" s="1">
        <f>SUMIFS(Table4[Qty],Table4[Product ID],Table2[[#This Row],[Product ID]])</f>
        <v>0</v>
      </c>
      <c r="L35" s="1">
        <f>Table2[[#This Row],[Total Purchased]]-Table2[[#This Row],[Total Sold]]</f>
        <v>10</v>
      </c>
      <c r="M35" s="1" t="str">
        <f>IF(Table2[[#This Row],[Current Stock]]=0,"Out of Stock",IF(Table2[[#This Row],[Current Stock]]&lt;=5,"Low Stock","In Stock"))</f>
        <v>In Stock</v>
      </c>
    </row>
    <row r="36" spans="4:13" ht="15" customHeight="1" x14ac:dyDescent="0.35">
      <c r="D36" s="1" t="s">
        <v>221</v>
      </c>
      <c r="E36" s="1" t="str">
        <f>_xlfn.XLOOKUP(Table2[[#This Row],[Product ID]],Table1[Product ID],Table1[Category])</f>
        <v>Perfume</v>
      </c>
      <c r="F36" s="1" t="str">
        <f>_xlfn.XLOOKUP(Table2[[#This Row],[Product ID]],Table1[Product ID],Table1[Brand])</f>
        <v>Fragrance Deluxe</v>
      </c>
      <c r="G36" s="1" t="str">
        <f>_xlfn.XLOOKUP(Table2[[#This Row],[Product ID]],Table1[Product ID],Table1[Product Name])</f>
        <v>fire night</v>
      </c>
      <c r="H36" s="1" t="str">
        <f>_xlfn.XLOOKUP(Table2[[#This Row],[Product ID]],Table1[Product ID],Table1[Size_ml])</f>
        <v>100ml</v>
      </c>
      <c r="I36" s="1">
        <f>_xlfn.XLOOKUP(Table2[[#This Row],[Product ID]],Table1[Product ID],Table1[Costprice])</f>
        <v>17500</v>
      </c>
      <c r="J36" s="1">
        <f>SUMIFS(Table3[Qty],Table3[Product ID],Table2[[#This Row],[Product ID]])</f>
        <v>0</v>
      </c>
      <c r="K36" s="1">
        <f>SUMIFS(Table4[Qty],Table4[Product ID],Table2[[#This Row],[Product ID]])</f>
        <v>0</v>
      </c>
      <c r="L36" s="1">
        <f>Table2[[#This Row],[Total Purchased]]-Table2[[#This Row],[Total Sold]]</f>
        <v>0</v>
      </c>
      <c r="M36" s="1" t="str">
        <f>IF(Table2[[#This Row],[Current Stock]]=0,"Out of Stock",IF(Table2[[#This Row],[Current Stock]]&lt;=5,"Low Stock","In Stock"))</f>
        <v>Out of Stock</v>
      </c>
    </row>
    <row r="37" spans="4:13" ht="15" customHeight="1" x14ac:dyDescent="0.35">
      <c r="D37" s="1" t="s">
        <v>222</v>
      </c>
      <c r="E37" s="1" t="str">
        <f>_xlfn.XLOOKUP(Table2[[#This Row],[Product ID]],Table1[Product ID],Table1[Category])</f>
        <v>Perfume</v>
      </c>
      <c r="F37" s="1" t="str">
        <f>_xlfn.XLOOKUP(Table2[[#This Row],[Product ID]],Table1[Product ID],Table1[Brand])</f>
        <v>24k</v>
      </c>
      <c r="G37" s="1" t="str">
        <f>_xlfn.XLOOKUP(Table2[[#This Row],[Product ID]],Table1[Product ID],Table1[Product Name])</f>
        <v>white</v>
      </c>
      <c r="H37" s="1" t="str">
        <f>_xlfn.XLOOKUP(Table2[[#This Row],[Product ID]],Table1[Product ID],Table1[Size_ml])</f>
        <v>100ml</v>
      </c>
      <c r="I37" s="1">
        <f>_xlfn.XLOOKUP(Table2[[#This Row],[Product ID]],Table1[Product ID],Table1[Costprice])</f>
        <v>6500</v>
      </c>
      <c r="J37" s="1">
        <f>SUMIFS(Table3[Qty],Table3[Product ID],Table2[[#This Row],[Product ID]])</f>
        <v>8</v>
      </c>
      <c r="K37" s="1">
        <f>SUMIFS(Table4[Qty],Table4[Product ID],Table2[[#This Row],[Product ID]])</f>
        <v>0</v>
      </c>
      <c r="L37" s="1">
        <f>Table2[[#This Row],[Total Purchased]]-Table2[[#This Row],[Total Sold]]</f>
        <v>8</v>
      </c>
      <c r="M37" s="1" t="str">
        <f>IF(Table2[[#This Row],[Current Stock]]=0,"Out of Stock",IF(Table2[[#This Row],[Current Stock]]&lt;=5,"Low Stock","In Stock"))</f>
        <v>In Stock</v>
      </c>
    </row>
    <row r="38" spans="4:13" ht="15" customHeight="1" x14ac:dyDescent="0.35">
      <c r="D38" s="1" t="s">
        <v>223</v>
      </c>
      <c r="E38" s="1" t="str">
        <f>_xlfn.XLOOKUP(Table2[[#This Row],[Product ID]],Table1[Product ID],Table1[Category])</f>
        <v>Perfume</v>
      </c>
      <c r="F38" s="1" t="str">
        <f>_xlfn.XLOOKUP(Table2[[#This Row],[Product ID]],Table1[Product ID],Table1[Brand])</f>
        <v>24k</v>
      </c>
      <c r="G38" s="1" t="str">
        <f>_xlfn.XLOOKUP(Table2[[#This Row],[Product ID]],Table1[Product ID],Table1[Product Name])</f>
        <v>homme</v>
      </c>
      <c r="H38" s="1" t="str">
        <f>_xlfn.XLOOKUP(Table2[[#This Row],[Product ID]],Table1[Product ID],Table1[Size_ml])</f>
        <v>100ml</v>
      </c>
      <c r="I38" s="1">
        <f>_xlfn.XLOOKUP(Table2[[#This Row],[Product ID]],Table1[Product ID],Table1[Costprice])</f>
        <v>7500</v>
      </c>
      <c r="J38" s="1">
        <f>SUMIFS(Table3[Qty],Table3[Product ID],Table2[[#This Row],[Product ID]])</f>
        <v>20</v>
      </c>
      <c r="K38" s="1">
        <f>SUMIFS(Table4[Qty],Table4[Product ID],Table2[[#This Row],[Product ID]])</f>
        <v>0</v>
      </c>
      <c r="L38" s="1">
        <f>Table2[[#This Row],[Total Purchased]]-Table2[[#This Row],[Total Sold]]</f>
        <v>20</v>
      </c>
      <c r="M38" s="1" t="str">
        <f>IF(Table2[[#This Row],[Current Stock]]=0,"Out of Stock",IF(Table2[[#This Row],[Current Stock]]&lt;=5,"Low Stock","In Stock"))</f>
        <v>In Stock</v>
      </c>
    </row>
    <row r="39" spans="4:13" ht="15" customHeight="1" x14ac:dyDescent="0.35">
      <c r="D39" s="1" t="s">
        <v>224</v>
      </c>
      <c r="E39" s="1" t="str">
        <f>_xlfn.XLOOKUP(Table2[[#This Row],[Product ID]],Table1[Product ID],Table1[Category])</f>
        <v>Perfume</v>
      </c>
      <c r="F39" s="1" t="str">
        <f>_xlfn.XLOOKUP(Table2[[#This Row],[Product ID]],Table1[Product ID],Table1[Brand])</f>
        <v>24k</v>
      </c>
      <c r="G39" s="1" t="str">
        <f>_xlfn.XLOOKUP(Table2[[#This Row],[Product ID]],Table1[Product ID],Table1[Product Name])</f>
        <v>rouge</v>
      </c>
      <c r="H39" s="1" t="str">
        <f>_xlfn.XLOOKUP(Table2[[#This Row],[Product ID]],Table1[Product ID],Table1[Size_ml])</f>
        <v>100ml</v>
      </c>
      <c r="I39" s="1">
        <f>_xlfn.XLOOKUP(Table2[[#This Row],[Product ID]],Table1[Product ID],Table1[Costprice])</f>
        <v>6000</v>
      </c>
      <c r="J39" s="1">
        <f>SUMIFS(Table3[Qty],Table3[Product ID],Table2[[#This Row],[Product ID]])</f>
        <v>18</v>
      </c>
      <c r="K39" s="1">
        <f>SUMIFS(Table4[Qty],Table4[Product ID],Table2[[#This Row],[Product ID]])</f>
        <v>0</v>
      </c>
      <c r="L39" s="1">
        <f>Table2[[#This Row],[Total Purchased]]-Table2[[#This Row],[Total Sold]]</f>
        <v>18</v>
      </c>
      <c r="M39" s="1" t="str">
        <f>IF(Table2[[#This Row],[Current Stock]]=0,"Out of Stock",IF(Table2[[#This Row],[Current Stock]]&lt;=5,"Low Stock","In Stock"))</f>
        <v>In Stock</v>
      </c>
    </row>
    <row r="40" spans="4:13" ht="15" customHeight="1" x14ac:dyDescent="0.35">
      <c r="D40" s="1" t="s">
        <v>225</v>
      </c>
      <c r="E40" s="1" t="str">
        <f>_xlfn.XLOOKUP(Table2[[#This Row],[Product ID]],Table1[Product ID],Table1[Category])</f>
        <v>Perfume</v>
      </c>
      <c r="F40" s="1" t="str">
        <f>_xlfn.XLOOKUP(Table2[[#This Row],[Product ID]],Table1[Product ID],Table1[Brand])</f>
        <v>24k</v>
      </c>
      <c r="G40" s="1" t="str">
        <f>_xlfn.XLOOKUP(Table2[[#This Row],[Product ID]],Table1[Product ID],Table1[Product Name])</f>
        <v>oud</v>
      </c>
      <c r="H40" s="1" t="str">
        <f>_xlfn.XLOOKUP(Table2[[#This Row],[Product ID]],Table1[Product ID],Table1[Size_ml])</f>
        <v>100ml</v>
      </c>
      <c r="I40" s="1">
        <f>_xlfn.XLOOKUP(Table2[[#This Row],[Product ID]],Table1[Product ID],Table1[Costprice])</f>
        <v>5500</v>
      </c>
      <c r="J40" s="1">
        <f>SUMIFS(Table3[Qty],Table3[Product ID],Table2[[#This Row],[Product ID]])</f>
        <v>0</v>
      </c>
      <c r="K40" s="1">
        <f>SUMIFS(Table4[Qty],Table4[Product ID],Table2[[#This Row],[Product ID]])</f>
        <v>0</v>
      </c>
      <c r="L40" s="1">
        <f>Table2[[#This Row],[Total Purchased]]-Table2[[#This Row],[Total Sold]]</f>
        <v>0</v>
      </c>
      <c r="M40" s="1" t="str">
        <f>IF(Table2[[#This Row],[Current Stock]]=0,"Out of Stock",IF(Table2[[#This Row],[Current Stock]]&lt;=5,"Low Stock","In Stock"))</f>
        <v>Out of Stock</v>
      </c>
    </row>
    <row r="41" spans="4:13" ht="15" customHeight="1" x14ac:dyDescent="0.35">
      <c r="D41" s="1" t="s">
        <v>226</v>
      </c>
      <c r="E41" s="1" t="str">
        <f>_xlfn.XLOOKUP(Table2[[#This Row],[Product ID]],Table1[Product ID],Table1[Category])</f>
        <v>Perfume</v>
      </c>
      <c r="F41" s="1" t="str">
        <f>_xlfn.XLOOKUP(Table2[[#This Row],[Product ID]],Table1[Product ID],Table1[Brand])</f>
        <v>24k</v>
      </c>
      <c r="G41" s="1" t="str">
        <f>_xlfn.XLOOKUP(Table2[[#This Row],[Product ID]],Table1[Product ID],Table1[Product Name])</f>
        <v>pure pink</v>
      </c>
      <c r="H41" s="1" t="str">
        <f>_xlfn.XLOOKUP(Table2[[#This Row],[Product ID]],Table1[Product ID],Table1[Size_ml])</f>
        <v>100ml</v>
      </c>
      <c r="I41" s="1">
        <f>_xlfn.XLOOKUP(Table2[[#This Row],[Product ID]],Table1[Product ID],Table1[Costprice])</f>
        <v>5800</v>
      </c>
      <c r="J41" s="1">
        <f>SUMIFS(Table3[Qty],Table3[Product ID],Table2[[#This Row],[Product ID]])</f>
        <v>8</v>
      </c>
      <c r="K41" s="1">
        <f>SUMIFS(Table4[Qty],Table4[Product ID],Table2[[#This Row],[Product ID]])</f>
        <v>0</v>
      </c>
      <c r="L41" s="1">
        <f>Table2[[#This Row],[Total Purchased]]-Table2[[#This Row],[Total Sold]]</f>
        <v>8</v>
      </c>
      <c r="M41" s="1" t="str">
        <f>IF(Table2[[#This Row],[Current Stock]]=0,"Out of Stock",IF(Table2[[#This Row],[Current Stock]]&lt;=5,"Low Stock","In Stock"))</f>
        <v>In Stock</v>
      </c>
    </row>
    <row r="42" spans="4:13" ht="15" customHeight="1" x14ac:dyDescent="0.35">
      <c r="D42" s="1" t="s">
        <v>227</v>
      </c>
      <c r="E42" s="1" t="str">
        <f>_xlfn.XLOOKUP(Table2[[#This Row],[Product ID]],Table1[Product ID],Table1[Category])</f>
        <v>Body mist</v>
      </c>
      <c r="F42" s="1" t="str">
        <f>_xlfn.XLOOKUP(Table2[[#This Row],[Product ID]],Table1[Product ID],Table1[Brand])</f>
        <v>Be tres</v>
      </c>
      <c r="G42" s="1" t="str">
        <f>_xlfn.XLOOKUP(Table2[[#This Row],[Product ID]],Table1[Product ID],Table1[Product Name])</f>
        <v>Vainilla</v>
      </c>
      <c r="H42" s="1" t="str">
        <f>_xlfn.XLOOKUP(Table2[[#This Row],[Product ID]],Table1[Product ID],Table1[Size_ml])</f>
        <v>100ml</v>
      </c>
      <c r="I42" s="1">
        <f>_xlfn.XLOOKUP(Table2[[#This Row],[Product ID]],Table1[Product ID],Table1[Costprice])</f>
        <v>2500</v>
      </c>
      <c r="J42" s="1">
        <f>SUMIFS(Table3[Qty],Table3[Product ID],Table2[[#This Row],[Product ID]])</f>
        <v>0</v>
      </c>
      <c r="K42" s="1">
        <f>SUMIFS(Table4[Qty],Table4[Product ID],Table2[[#This Row],[Product ID]])</f>
        <v>0</v>
      </c>
      <c r="L42" s="1">
        <f>Table2[[#This Row],[Total Purchased]]-Table2[[#This Row],[Total Sold]]</f>
        <v>0</v>
      </c>
      <c r="M42" s="1" t="str">
        <f>IF(Table2[[#This Row],[Current Stock]]=0,"Out of Stock",IF(Table2[[#This Row],[Current Stock]]&lt;=5,"Low Stock","In Stock"))</f>
        <v>Out of Stock</v>
      </c>
    </row>
    <row r="43" spans="4:13" ht="15" customHeight="1" x14ac:dyDescent="0.35">
      <c r="D43" s="1" t="s">
        <v>228</v>
      </c>
      <c r="E43" s="1" t="str">
        <f>_xlfn.XLOOKUP(Table2[[#This Row],[Product ID]],Table1[Product ID],Table1[Category])</f>
        <v>Body mist</v>
      </c>
      <c r="F43" s="1" t="str">
        <f>_xlfn.XLOOKUP(Table2[[#This Row],[Product ID]],Table1[Product ID],Table1[Brand])</f>
        <v>Be tres</v>
      </c>
      <c r="G43" s="1" t="str">
        <f>_xlfn.XLOOKUP(Table2[[#This Row],[Product ID]],Table1[Product ID],Table1[Product Name])</f>
        <v>Melon</v>
      </c>
      <c r="H43" s="1" t="str">
        <f>_xlfn.XLOOKUP(Table2[[#This Row],[Product ID]],Table1[Product ID],Table1[Size_ml])</f>
        <v>100ml</v>
      </c>
      <c r="I43" s="1">
        <f>_xlfn.XLOOKUP(Table2[[#This Row],[Product ID]],Table1[Product ID],Table1[Costprice])</f>
        <v>2500</v>
      </c>
      <c r="J43" s="1">
        <f>SUMIFS(Table3[Qty],Table3[Product ID],Table2[[#This Row],[Product ID]])</f>
        <v>0</v>
      </c>
      <c r="K43" s="1">
        <f>SUMIFS(Table4[Qty],Table4[Product ID],Table2[[#This Row],[Product ID]])</f>
        <v>1</v>
      </c>
      <c r="L43" s="1">
        <f>Table2[[#This Row],[Total Purchased]]-Table2[[#This Row],[Total Sold]]</f>
        <v>-1</v>
      </c>
      <c r="M43" s="1" t="str">
        <f>IF(Table2[[#This Row],[Current Stock]]=0,"Out of Stock",IF(Table2[[#This Row],[Current Stock]]&lt;=5,"Low Stock","In Stock"))</f>
        <v>Low Stock</v>
      </c>
    </row>
    <row r="44" spans="4:13" ht="15" customHeight="1" x14ac:dyDescent="0.35">
      <c r="D44" s="1" t="s">
        <v>229</v>
      </c>
      <c r="E44" s="1" t="str">
        <f>_xlfn.XLOOKUP(Table2[[#This Row],[Product ID]],Table1[Product ID],Table1[Category])</f>
        <v>Body mist</v>
      </c>
      <c r="F44" s="1" t="str">
        <f>_xlfn.XLOOKUP(Table2[[#This Row],[Product ID]],Table1[Product ID],Table1[Brand])</f>
        <v>Be tres</v>
      </c>
      <c r="G44" s="1" t="str">
        <f>_xlfn.XLOOKUP(Table2[[#This Row],[Product ID]],Table1[Product ID],Table1[Product Name])</f>
        <v>Mora</v>
      </c>
      <c r="H44" s="1" t="str">
        <f>_xlfn.XLOOKUP(Table2[[#This Row],[Product ID]],Table1[Product ID],Table1[Size_ml])</f>
        <v>100ml</v>
      </c>
      <c r="I44" s="1">
        <f>_xlfn.XLOOKUP(Table2[[#This Row],[Product ID]],Table1[Product ID],Table1[Costprice])</f>
        <v>2500</v>
      </c>
      <c r="J44" s="1">
        <f>SUMIFS(Table3[Qty],Table3[Product ID],Table2[[#This Row],[Product ID]])</f>
        <v>0</v>
      </c>
      <c r="K44" s="1">
        <f>SUMIFS(Table4[Qty],Table4[Product ID],Table2[[#This Row],[Product ID]])</f>
        <v>0</v>
      </c>
      <c r="L44" s="1">
        <f>Table2[[#This Row],[Total Purchased]]-Table2[[#This Row],[Total Sold]]</f>
        <v>0</v>
      </c>
      <c r="M44" s="1" t="str">
        <f>IF(Table2[[#This Row],[Current Stock]]=0,"Out of Stock",IF(Table2[[#This Row],[Current Stock]]&lt;=5,"Low Stock","In Stock"))</f>
        <v>Out of Stock</v>
      </c>
    </row>
    <row r="45" spans="4:13" ht="15" customHeight="1" x14ac:dyDescent="0.35">
      <c r="D45" s="1" t="s">
        <v>230</v>
      </c>
      <c r="E45" s="1" t="str">
        <f>_xlfn.XLOOKUP(Table2[[#This Row],[Product ID]],Table1[Product ID],Table1[Category])</f>
        <v>Body mist</v>
      </c>
      <c r="F45" s="1" t="str">
        <f>_xlfn.XLOOKUP(Table2[[#This Row],[Product ID]],Table1[Product ID],Table1[Brand])</f>
        <v>Be tres</v>
      </c>
      <c r="G45" s="1" t="str">
        <f>_xlfn.XLOOKUP(Table2[[#This Row],[Product ID]],Table1[Product ID],Table1[Product Name])</f>
        <v>Coco</v>
      </c>
      <c r="H45" s="1" t="str">
        <f>_xlfn.XLOOKUP(Table2[[#This Row],[Product ID]],Table1[Product ID],Table1[Size_ml])</f>
        <v>100ml</v>
      </c>
      <c r="I45" s="1">
        <f>_xlfn.XLOOKUP(Table2[[#This Row],[Product ID]],Table1[Product ID],Table1[Costprice])</f>
        <v>2500</v>
      </c>
      <c r="J45" s="1">
        <f>SUMIFS(Table3[Qty],Table3[Product ID],Table2[[#This Row],[Product ID]])</f>
        <v>0</v>
      </c>
      <c r="K45" s="1">
        <f>SUMIFS(Table4[Qty],Table4[Product ID],Table2[[#This Row],[Product ID]])</f>
        <v>0</v>
      </c>
      <c r="L45" s="1">
        <f>Table2[[#This Row],[Total Purchased]]-Table2[[#This Row],[Total Sold]]</f>
        <v>0</v>
      </c>
      <c r="M45" s="1" t="str">
        <f>IF(Table2[[#This Row],[Current Stock]]=0,"Out of Stock",IF(Table2[[#This Row],[Current Stock]]&lt;=5,"Low Stock","In Stock"))</f>
        <v>Out of Stock</v>
      </c>
    </row>
    <row r="46" spans="4:13" ht="15" customHeight="1" x14ac:dyDescent="0.35">
      <c r="D46" s="1" t="s">
        <v>231</v>
      </c>
      <c r="E46" s="1" t="str">
        <f>_xlfn.XLOOKUP(Table2[[#This Row],[Product ID]],Table1[Product ID],Table1[Category])</f>
        <v>Body mist</v>
      </c>
      <c r="F46" s="1" t="str">
        <f>_xlfn.XLOOKUP(Table2[[#This Row],[Product ID]],Table1[Product ID],Table1[Brand])</f>
        <v>Confetti London</v>
      </c>
      <c r="G46" s="1" t="str">
        <f>_xlfn.XLOOKUP(Table2[[#This Row],[Product ID]],Table1[Product ID],Table1[Product Name])</f>
        <v>Bare kiss</v>
      </c>
      <c r="H46" s="1" t="str">
        <f>_xlfn.XLOOKUP(Table2[[#This Row],[Product ID]],Table1[Product ID],Table1[Size_ml])</f>
        <v>236ml</v>
      </c>
      <c r="I46" s="1">
        <f>_xlfn.XLOOKUP(Table2[[#This Row],[Product ID]],Table1[Product ID],Table1[Costprice])</f>
        <v>3000</v>
      </c>
      <c r="J46" s="1">
        <f>SUMIFS(Table3[Qty],Table3[Product ID],Table2[[#This Row],[Product ID]])</f>
        <v>15</v>
      </c>
      <c r="K46" s="1">
        <f>SUMIFS(Table4[Qty],Table4[Product ID],Table2[[#This Row],[Product ID]])</f>
        <v>0</v>
      </c>
      <c r="L46" s="1">
        <f>Table2[[#This Row],[Total Purchased]]-Table2[[#This Row],[Total Sold]]</f>
        <v>15</v>
      </c>
      <c r="M46" s="1" t="str">
        <f>IF(Table2[[#This Row],[Current Stock]]=0,"Out of Stock",IF(Table2[[#This Row],[Current Stock]]&lt;=5,"Low Stock","In Stock"))</f>
        <v>In Stock</v>
      </c>
    </row>
    <row r="47" spans="4:13" ht="15" customHeight="1" x14ac:dyDescent="0.35">
      <c r="D47" s="1" t="s">
        <v>232</v>
      </c>
      <c r="E47" s="1" t="str">
        <f>_xlfn.XLOOKUP(Table2[[#This Row],[Product ID]],Table1[Product ID],Table1[Category])</f>
        <v>Body mist</v>
      </c>
      <c r="F47" s="1" t="str">
        <f>_xlfn.XLOOKUP(Table2[[#This Row],[Product ID]],Table1[Product ID],Table1[Brand])</f>
        <v>Confetti London</v>
      </c>
      <c r="G47" s="1" t="str">
        <f>_xlfn.XLOOKUP(Table2[[#This Row],[Product ID]],Table1[Product ID],Table1[Product Name])</f>
        <v>Dear</v>
      </c>
      <c r="H47" s="1" t="str">
        <f>_xlfn.XLOOKUP(Table2[[#This Row],[Product ID]],Table1[Product ID],Table1[Size_ml])</f>
        <v>236ml</v>
      </c>
      <c r="I47" s="1">
        <f>_xlfn.XLOOKUP(Table2[[#This Row],[Product ID]],Table1[Product ID],Table1[Costprice])</f>
        <v>3000</v>
      </c>
      <c r="J47" s="1">
        <f>SUMIFS(Table3[Qty],Table3[Product ID],Table2[[#This Row],[Product ID]])</f>
        <v>0</v>
      </c>
      <c r="K47" s="1">
        <f>SUMIFS(Table4[Qty],Table4[Product ID],Table2[[#This Row],[Product ID]])</f>
        <v>3</v>
      </c>
      <c r="L47" s="1">
        <f>Table2[[#This Row],[Total Purchased]]-Table2[[#This Row],[Total Sold]]</f>
        <v>-3</v>
      </c>
      <c r="M47" s="1" t="str">
        <f>IF(Table2[[#This Row],[Current Stock]]=0,"Out of Stock",IF(Table2[[#This Row],[Current Stock]]&lt;=5,"Low Stock","In Stock"))</f>
        <v>Low Stock</v>
      </c>
    </row>
    <row r="48" spans="4:13" ht="15" customHeight="1" x14ac:dyDescent="0.35">
      <c r="D48" s="1" t="s">
        <v>233</v>
      </c>
      <c r="E48" s="1" t="str">
        <f>_xlfn.XLOOKUP(Table2[[#This Row],[Product ID]],Table1[Product ID],Table1[Category])</f>
        <v>Body mist</v>
      </c>
      <c r="F48" s="1" t="str">
        <f>_xlfn.XLOOKUP(Table2[[#This Row],[Product ID]],Table1[Product ID],Table1[Brand])</f>
        <v>Confetti London</v>
      </c>
      <c r="G48" s="1" t="str">
        <f>_xlfn.XLOOKUP(Table2[[#This Row],[Product ID]],Table1[Product ID],Table1[Product Name])</f>
        <v>joy</v>
      </c>
      <c r="H48" s="1" t="str">
        <f>_xlfn.XLOOKUP(Table2[[#This Row],[Product ID]],Table1[Product ID],Table1[Size_ml])</f>
        <v>236ml</v>
      </c>
      <c r="I48" s="1">
        <f>_xlfn.XLOOKUP(Table2[[#This Row],[Product ID]],Table1[Product ID],Table1[Costprice])</f>
        <v>3000</v>
      </c>
      <c r="J48" s="1">
        <f>SUMIFS(Table3[Qty],Table3[Product ID],Table2[[#This Row],[Product ID]])</f>
        <v>27</v>
      </c>
      <c r="K48" s="1">
        <f>SUMIFS(Table4[Qty],Table4[Product ID],Table2[[#This Row],[Product ID]])</f>
        <v>0</v>
      </c>
      <c r="L48" s="1">
        <f>Table2[[#This Row],[Total Purchased]]-Table2[[#This Row],[Total Sold]]</f>
        <v>27</v>
      </c>
      <c r="M48" s="1" t="str">
        <f>IF(Table2[[#This Row],[Current Stock]]=0,"Out of Stock",IF(Table2[[#This Row],[Current Stock]]&lt;=5,"Low Stock","In Stock"))</f>
        <v>In Stock</v>
      </c>
    </row>
    <row r="49" spans="4:13" ht="15" customHeight="1" x14ac:dyDescent="0.35">
      <c r="D49" s="1" t="s">
        <v>234</v>
      </c>
      <c r="E49" s="1" t="str">
        <f>_xlfn.XLOOKUP(Table2[[#This Row],[Product ID]],Table1[Product ID],Table1[Category])</f>
        <v>Body mist</v>
      </c>
      <c r="F49" s="1" t="str">
        <f>_xlfn.XLOOKUP(Table2[[#This Row],[Product ID]],Table1[Product ID],Table1[Brand])</f>
        <v>Confetti London</v>
      </c>
      <c r="G49" s="1" t="str">
        <f>_xlfn.XLOOKUP(Table2[[#This Row],[Product ID]],Table1[Product ID],Table1[Product Name])</f>
        <v>wish</v>
      </c>
      <c r="H49" s="1" t="str">
        <f>_xlfn.XLOOKUP(Table2[[#This Row],[Product ID]],Table1[Product ID],Table1[Size_ml])</f>
        <v>236ml</v>
      </c>
      <c r="I49" s="1">
        <f>_xlfn.XLOOKUP(Table2[[#This Row],[Product ID]],Table1[Product ID],Table1[Costprice])</f>
        <v>3000</v>
      </c>
      <c r="J49" s="1">
        <f>SUMIFS(Table3[Qty],Table3[Product ID],Table2[[#This Row],[Product ID]])</f>
        <v>14</v>
      </c>
      <c r="K49" s="1">
        <f>SUMIFS(Table4[Qty],Table4[Product ID],Table2[[#This Row],[Product ID]])</f>
        <v>2</v>
      </c>
      <c r="L49" s="1">
        <f>Table2[[#This Row],[Total Purchased]]-Table2[[#This Row],[Total Sold]]</f>
        <v>12</v>
      </c>
      <c r="M49" s="1" t="str">
        <f>IF(Table2[[#This Row],[Current Stock]]=0,"Out of Stock",IF(Table2[[#This Row],[Current Stock]]&lt;=5,"Low Stock","In Stock"))</f>
        <v>In Stock</v>
      </c>
    </row>
    <row r="50" spans="4:13" ht="15" customHeight="1" x14ac:dyDescent="0.35">
      <c r="D50" s="1" t="s">
        <v>235</v>
      </c>
      <c r="E50" s="1" t="str">
        <f>_xlfn.XLOOKUP(Table2[[#This Row],[Product ID]],Table1[Product ID],Table1[Category])</f>
        <v>Body mist</v>
      </c>
      <c r="F50" s="1" t="str">
        <f>_xlfn.XLOOKUP(Table2[[#This Row],[Product ID]],Table1[Product ID],Table1[Brand])</f>
        <v>Pendora Scent</v>
      </c>
      <c r="G50" s="1" t="str">
        <f>_xlfn.XLOOKUP(Table2[[#This Row],[Product ID]],Table1[Product ID],Table1[Product Name])</f>
        <v>love spell</v>
      </c>
      <c r="H50" s="1" t="str">
        <f>_xlfn.XLOOKUP(Table2[[#This Row],[Product ID]],Table1[Product ID],Table1[Size_ml])</f>
        <v>236ml</v>
      </c>
      <c r="I50" s="1">
        <f>_xlfn.XLOOKUP(Table2[[#This Row],[Product ID]],Table1[Product ID],Table1[Costprice])</f>
        <v>3200</v>
      </c>
      <c r="J50" s="1">
        <f>SUMIFS(Table3[Qty],Table3[Product ID],Table2[[#This Row],[Product ID]])</f>
        <v>30</v>
      </c>
      <c r="K50" s="1">
        <f>SUMIFS(Table4[Qty],Table4[Product ID],Table2[[#This Row],[Product ID]])</f>
        <v>18</v>
      </c>
      <c r="L50" s="1">
        <f>Table2[[#This Row],[Total Purchased]]-Table2[[#This Row],[Total Sold]]</f>
        <v>12</v>
      </c>
      <c r="M50" s="1" t="str">
        <f>IF(Table2[[#This Row],[Current Stock]]=0,"Out of Stock",IF(Table2[[#This Row],[Current Stock]]&lt;=5,"Low Stock","In Stock"))</f>
        <v>In Stock</v>
      </c>
    </row>
    <row r="51" spans="4:13" ht="15" customHeight="1" x14ac:dyDescent="0.35">
      <c r="D51" s="1" t="s">
        <v>236</v>
      </c>
      <c r="E51" s="1" t="str">
        <f>_xlfn.XLOOKUP(Table2[[#This Row],[Product ID]],Table1[Product ID],Table1[Category])</f>
        <v>Body mist</v>
      </c>
      <c r="F51" s="1" t="str">
        <f>_xlfn.XLOOKUP(Table2[[#This Row],[Product ID]],Table1[Product ID],Table1[Brand])</f>
        <v>Pendora Scent</v>
      </c>
      <c r="G51" s="1" t="str">
        <f>_xlfn.XLOOKUP(Table2[[#This Row],[Product ID]],Table1[Product ID],Table1[Product Name])</f>
        <v>Bare vanilla</v>
      </c>
      <c r="H51" s="1" t="str">
        <f>_xlfn.XLOOKUP(Table2[[#This Row],[Product ID]],Table1[Product ID],Table1[Size_ml])</f>
        <v>236ml</v>
      </c>
      <c r="I51" s="1">
        <f>_xlfn.XLOOKUP(Table2[[#This Row],[Product ID]],Table1[Product ID],Table1[Costprice])</f>
        <v>3200</v>
      </c>
      <c r="J51" s="1">
        <f>SUMIFS(Table3[Qty],Table3[Product ID],Table2[[#This Row],[Product ID]])</f>
        <v>0</v>
      </c>
      <c r="K51" s="1">
        <f>SUMIFS(Table4[Qty],Table4[Product ID],Table2[[#This Row],[Product ID]])</f>
        <v>0</v>
      </c>
      <c r="L51" s="1">
        <f>Table2[[#This Row],[Total Purchased]]-Table2[[#This Row],[Total Sold]]</f>
        <v>0</v>
      </c>
      <c r="M51" s="1" t="str">
        <f>IF(Table2[[#This Row],[Current Stock]]=0,"Out of Stock",IF(Table2[[#This Row],[Current Stock]]&lt;=5,"Low Stock","In Stock"))</f>
        <v>Out of Stock</v>
      </c>
    </row>
    <row r="52" spans="4:13" ht="15" customHeight="1" x14ac:dyDescent="0.35">
      <c r="D52" s="1" t="s">
        <v>237</v>
      </c>
      <c r="E52" s="1" t="str">
        <f>_xlfn.XLOOKUP(Table2[[#This Row],[Product ID]],Table1[Product ID],Table1[Category])</f>
        <v>Body mist</v>
      </c>
      <c r="F52" s="1" t="str">
        <f>_xlfn.XLOOKUP(Table2[[#This Row],[Product ID]],Table1[Product ID],Table1[Brand])</f>
        <v>Pendora Scent</v>
      </c>
      <c r="G52" s="1" t="str">
        <f>_xlfn.XLOOKUP(Table2[[#This Row],[Product ID]],Table1[Product ID],Table1[Product Name])</f>
        <v>French coffe</v>
      </c>
      <c r="H52" s="1" t="str">
        <f>_xlfn.XLOOKUP(Table2[[#This Row],[Product ID]],Table1[Product ID],Table1[Size_ml])</f>
        <v>236ml</v>
      </c>
      <c r="I52" s="1">
        <f>_xlfn.XLOOKUP(Table2[[#This Row],[Product ID]],Table1[Product ID],Table1[Costprice])</f>
        <v>3200</v>
      </c>
      <c r="J52" s="1">
        <f>SUMIFS(Table3[Qty],Table3[Product ID],Table2[[#This Row],[Product ID]])</f>
        <v>20</v>
      </c>
      <c r="K52" s="1">
        <f>SUMIFS(Table4[Qty],Table4[Product ID],Table2[[#This Row],[Product ID]])</f>
        <v>1</v>
      </c>
      <c r="L52" s="1">
        <f>Table2[[#This Row],[Total Purchased]]-Table2[[#This Row],[Total Sold]]</f>
        <v>19</v>
      </c>
      <c r="M52" s="1" t="str">
        <f>IF(Table2[[#This Row],[Current Stock]]=0,"Out of Stock",IF(Table2[[#This Row],[Current Stock]]&lt;=5,"Low Stock","In Stock"))</f>
        <v>In Stock</v>
      </c>
    </row>
    <row r="53" spans="4:13" ht="15" customHeight="1" x14ac:dyDescent="0.35">
      <c r="D53" s="1" t="s">
        <v>238</v>
      </c>
      <c r="E53" s="1" t="str">
        <f>_xlfn.XLOOKUP(Table2[[#This Row],[Product ID]],Table1[Product ID],Table1[Category])</f>
        <v>Body mist</v>
      </c>
      <c r="F53" s="1" t="str">
        <f>_xlfn.XLOOKUP(Table2[[#This Row],[Product ID]],Table1[Product ID],Table1[Brand])</f>
        <v>Victoria secret</v>
      </c>
      <c r="G53" s="1" t="str">
        <f>_xlfn.XLOOKUP(Table2[[#This Row],[Product ID]],Table1[Product ID],Table1[Product Name])</f>
        <v>Pure seduction</v>
      </c>
      <c r="H53" s="1" t="str">
        <f>_xlfn.XLOOKUP(Table2[[#This Row],[Product ID]],Table1[Product ID],Table1[Size_ml])</f>
        <v>200ml</v>
      </c>
      <c r="I53" s="1">
        <f>_xlfn.XLOOKUP(Table2[[#This Row],[Product ID]],Table1[Product ID],Table1[Costprice])</f>
        <v>8500</v>
      </c>
      <c r="J53" s="1">
        <f>SUMIFS(Table3[Qty],Table3[Product ID],Table2[[#This Row],[Product ID]])</f>
        <v>14</v>
      </c>
      <c r="K53" s="1">
        <f>SUMIFS(Table4[Qty],Table4[Product ID],Table2[[#This Row],[Product ID]])</f>
        <v>0</v>
      </c>
      <c r="L53" s="1">
        <f>Table2[[#This Row],[Total Purchased]]-Table2[[#This Row],[Total Sold]]</f>
        <v>14</v>
      </c>
      <c r="M53" s="1" t="str">
        <f>IF(Table2[[#This Row],[Current Stock]]=0,"Out of Stock",IF(Table2[[#This Row],[Current Stock]]&lt;=5,"Low Stock","In Stock"))</f>
        <v>In Stock</v>
      </c>
    </row>
    <row r="54" spans="4:13" ht="15" customHeight="1" x14ac:dyDescent="0.35">
      <c r="D54" s="1" t="s">
        <v>239</v>
      </c>
      <c r="E54" s="1" t="str">
        <f>_xlfn.XLOOKUP(Table2[[#This Row],[Product ID]],Table1[Product ID],Table1[Category])</f>
        <v>Body mist</v>
      </c>
      <c r="F54" s="1" t="str">
        <f>_xlfn.XLOOKUP(Table2[[#This Row],[Product ID]],Table1[Product ID],Table1[Brand])</f>
        <v>Victoria secret</v>
      </c>
      <c r="G54" s="1" t="str">
        <f>_xlfn.XLOOKUP(Table2[[#This Row],[Product ID]],Table1[Product ID],Table1[Product Name])</f>
        <v>dream petals</v>
      </c>
      <c r="H54" s="1" t="str">
        <f>_xlfn.XLOOKUP(Table2[[#This Row],[Product ID]],Table1[Product ID],Table1[Size_ml])</f>
        <v>200ml</v>
      </c>
      <c r="I54" s="1">
        <f>_xlfn.XLOOKUP(Table2[[#This Row],[Product ID]],Table1[Product ID],Table1[Costprice])</f>
        <v>8500</v>
      </c>
      <c r="J54" s="1">
        <f>SUMIFS(Table3[Qty],Table3[Product ID],Table2[[#This Row],[Product ID]])</f>
        <v>0</v>
      </c>
      <c r="K54" s="1">
        <f>SUMIFS(Table4[Qty],Table4[Product ID],Table2[[#This Row],[Product ID]])</f>
        <v>0</v>
      </c>
      <c r="L54" s="1">
        <f>Table2[[#This Row],[Total Purchased]]-Table2[[#This Row],[Total Sold]]</f>
        <v>0</v>
      </c>
      <c r="M54" s="1" t="str">
        <f>IF(Table2[[#This Row],[Current Stock]]=0,"Out of Stock",IF(Table2[[#This Row],[Current Stock]]&lt;=5,"Low Stock","In Stock"))</f>
        <v>Out of Stock</v>
      </c>
    </row>
    <row r="55" spans="4:13" ht="15" customHeight="1" x14ac:dyDescent="0.35">
      <c r="D55" s="1" t="s">
        <v>240</v>
      </c>
      <c r="E55" s="1" t="str">
        <f>_xlfn.XLOOKUP(Table2[[#This Row],[Product ID]],Table1[Product ID],Table1[Category])</f>
        <v>Body mist</v>
      </c>
      <c r="F55" s="1" t="str">
        <f>_xlfn.XLOOKUP(Table2[[#This Row],[Product ID]],Table1[Product ID],Table1[Brand])</f>
        <v>Victoria secret</v>
      </c>
      <c r="G55" s="1" t="str">
        <f>_xlfn.XLOOKUP(Table2[[#This Row],[Product ID]],Table1[Product ID],Table1[Product Name])</f>
        <v>bare vanilla</v>
      </c>
      <c r="H55" s="1" t="str">
        <f>_xlfn.XLOOKUP(Table2[[#This Row],[Product ID]],Table1[Product ID],Table1[Size_ml])</f>
        <v>200ml</v>
      </c>
      <c r="I55" s="1">
        <f>_xlfn.XLOOKUP(Table2[[#This Row],[Product ID]],Table1[Product ID],Table1[Costprice])</f>
        <v>8500</v>
      </c>
      <c r="J55" s="1">
        <f>SUMIFS(Table3[Qty],Table3[Product ID],Table2[[#This Row],[Product ID]])</f>
        <v>34</v>
      </c>
      <c r="K55" s="1">
        <f>SUMIFS(Table4[Qty],Table4[Product ID],Table2[[#This Row],[Product ID]])</f>
        <v>0</v>
      </c>
      <c r="L55" s="1">
        <f>Table2[[#This Row],[Total Purchased]]-Table2[[#This Row],[Total Sold]]</f>
        <v>34</v>
      </c>
      <c r="M55" s="1" t="str">
        <f>IF(Table2[[#This Row],[Current Stock]]=0,"Out of Stock",IF(Table2[[#This Row],[Current Stock]]&lt;=5,"Low Stock","In Stock"))</f>
        <v>In Stock</v>
      </c>
    </row>
    <row r="56" spans="4:13" ht="15" customHeight="1" x14ac:dyDescent="0.35">
      <c r="D56" s="1" t="s">
        <v>241</v>
      </c>
      <c r="E56" s="1" t="str">
        <f>_xlfn.XLOOKUP(Table2[[#This Row],[Product ID]],Table1[Product ID],Table1[Category])</f>
        <v>Antiperspirant</v>
      </c>
      <c r="F56" s="1" t="str">
        <f>_xlfn.XLOOKUP(Table2[[#This Row],[Product ID]],Table1[Product ID],Table1[Brand])</f>
        <v>Dove</v>
      </c>
      <c r="G56" s="1" t="str">
        <f>_xlfn.XLOOKUP(Table2[[#This Row],[Product ID]],Table1[Product ID],Table1[Product Name])</f>
        <v>Apple x white</v>
      </c>
      <c r="H56" s="1" t="str">
        <f>_xlfn.XLOOKUP(Table2[[#This Row],[Product ID]],Table1[Product ID],Table1[Size_ml])</f>
        <v>150ml</v>
      </c>
      <c r="I56" s="1">
        <f>_xlfn.XLOOKUP(Table2[[#This Row],[Product ID]],Table1[Product ID],Table1[Costprice])</f>
        <v>3500</v>
      </c>
      <c r="J56" s="1">
        <f>SUMIFS(Table3[Qty],Table3[Product ID],Table2[[#This Row],[Product ID]])</f>
        <v>0</v>
      </c>
      <c r="K56" s="1">
        <f>SUMIFS(Table4[Qty],Table4[Product ID],Table2[[#This Row],[Product ID]])</f>
        <v>0</v>
      </c>
      <c r="L56" s="1">
        <f>Table2[[#This Row],[Total Purchased]]-Table2[[#This Row],[Total Sold]]</f>
        <v>0</v>
      </c>
      <c r="M56" s="1" t="str">
        <f>IF(Table2[[#This Row],[Current Stock]]=0,"Out of Stock",IF(Table2[[#This Row],[Current Stock]]&lt;=5,"Low Stock","In Stock"))</f>
        <v>Out of Stock</v>
      </c>
    </row>
    <row r="57" spans="4:13" ht="15" customHeight="1" x14ac:dyDescent="0.35">
      <c r="D57" s="1" t="s">
        <v>242</v>
      </c>
      <c r="E57" s="1" t="str">
        <f>_xlfn.XLOOKUP(Table2[[#This Row],[Product ID]],Table1[Product ID],Table1[Category])</f>
        <v>Antiperspirant</v>
      </c>
      <c r="F57" s="1" t="str">
        <f>_xlfn.XLOOKUP(Table2[[#This Row],[Product ID]],Table1[Product ID],Table1[Brand])</f>
        <v>Dove</v>
      </c>
      <c r="G57" s="1" t="str">
        <f>_xlfn.XLOOKUP(Table2[[#This Row],[Product ID]],Table1[Product ID],Table1[Product Name])</f>
        <v>Pear x aloevera</v>
      </c>
      <c r="H57" s="1" t="str">
        <f>_xlfn.XLOOKUP(Table2[[#This Row],[Product ID]],Table1[Product ID],Table1[Size_ml])</f>
        <v>150ml</v>
      </c>
      <c r="I57" s="1">
        <f>_xlfn.XLOOKUP(Table2[[#This Row],[Product ID]],Table1[Product ID],Table1[Costprice])</f>
        <v>3500</v>
      </c>
      <c r="J57" s="1">
        <f>SUMIFS(Table3[Qty],Table3[Product ID],Table2[[#This Row],[Product ID]])</f>
        <v>18</v>
      </c>
      <c r="K57" s="1">
        <f>SUMIFS(Table4[Qty],Table4[Product ID],Table2[[#This Row],[Product ID]])</f>
        <v>2</v>
      </c>
      <c r="L57" s="1">
        <f>Table2[[#This Row],[Total Purchased]]-Table2[[#This Row],[Total Sold]]</f>
        <v>16</v>
      </c>
      <c r="M57" s="1" t="str">
        <f>IF(Table2[[#This Row],[Current Stock]]=0,"Out of Stock",IF(Table2[[#This Row],[Current Stock]]&lt;=5,"Low Stock","In Stock"))</f>
        <v>In Stock</v>
      </c>
    </row>
    <row r="58" spans="4:13" ht="15" customHeight="1" x14ac:dyDescent="0.35">
      <c r="D58" s="1" t="s">
        <v>243</v>
      </c>
      <c r="E58" s="1" t="str">
        <f>_xlfn.XLOOKUP(Table2[[#This Row],[Product ID]],Table1[Product ID],Table1[Category])</f>
        <v>Antiperspirant</v>
      </c>
      <c r="F58" s="1" t="str">
        <f>_xlfn.XLOOKUP(Table2[[#This Row],[Product ID]],Table1[Product ID],Table1[Brand])</f>
        <v>Dove</v>
      </c>
      <c r="G58" s="1" t="str">
        <f>_xlfn.XLOOKUP(Table2[[#This Row],[Product ID]],Table1[Product ID],Table1[Product Name])</f>
        <v>cucumber x greentea</v>
      </c>
      <c r="H58" s="1" t="str">
        <f>_xlfn.XLOOKUP(Table2[[#This Row],[Product ID]],Table1[Product ID],Table1[Size_ml])</f>
        <v>150ml</v>
      </c>
      <c r="I58" s="1">
        <f>_xlfn.XLOOKUP(Table2[[#This Row],[Product ID]],Table1[Product ID],Table1[Costprice])</f>
        <v>3500</v>
      </c>
      <c r="J58" s="1">
        <f>SUMIFS(Table3[Qty],Table3[Product ID],Table2[[#This Row],[Product ID]])</f>
        <v>18</v>
      </c>
      <c r="K58" s="1">
        <f>SUMIFS(Table4[Qty],Table4[Product ID],Table2[[#This Row],[Product ID]])</f>
        <v>2</v>
      </c>
      <c r="L58" s="1">
        <f>Table2[[#This Row],[Total Purchased]]-Table2[[#This Row],[Total Sold]]</f>
        <v>16</v>
      </c>
      <c r="M58" s="1" t="str">
        <f>IF(Table2[[#This Row],[Current Stock]]=0,"Out of Stock",IF(Table2[[#This Row],[Current Stock]]&lt;=5,"Low Stock","In Stock"))</f>
        <v>In Stock</v>
      </c>
    </row>
    <row r="59" spans="4:13" ht="15" customHeight="1" x14ac:dyDescent="0.35">
      <c r="D59" s="1" t="s">
        <v>244</v>
      </c>
      <c r="E59" s="1" t="str">
        <f>_xlfn.XLOOKUP(Table2[[#This Row],[Product ID]],Table1[Product ID],Table1[Category])</f>
        <v>Antiperspirant</v>
      </c>
      <c r="F59" s="1" t="str">
        <f>_xlfn.XLOOKUP(Table2[[#This Row],[Product ID]],Table1[Product ID],Table1[Brand])</f>
        <v>Cosmo</v>
      </c>
      <c r="G59" s="1" t="str">
        <f>_xlfn.XLOOKUP(Table2[[#This Row],[Product ID]],Table1[Product ID],Table1[Product Name])</f>
        <v>Aura</v>
      </c>
      <c r="H59" s="1" t="str">
        <f>_xlfn.XLOOKUP(Table2[[#This Row],[Product ID]],Table1[Product ID],Table1[Size_ml])</f>
        <v>50ml</v>
      </c>
      <c r="I59" s="1">
        <f>_xlfn.XLOOKUP(Table2[[#This Row],[Product ID]],Table1[Product ID],Table1[Costprice])</f>
        <v>1800</v>
      </c>
      <c r="J59" s="1">
        <f>SUMIFS(Table3[Qty],Table3[Product ID],Table2[[#This Row],[Product ID]])</f>
        <v>20</v>
      </c>
      <c r="K59" s="1">
        <f>SUMIFS(Table4[Qty],Table4[Product ID],Table2[[#This Row],[Product ID]])</f>
        <v>0</v>
      </c>
      <c r="L59" s="1">
        <f>Table2[[#This Row],[Total Purchased]]-Table2[[#This Row],[Total Sold]]</f>
        <v>20</v>
      </c>
      <c r="M59" s="1" t="str">
        <f>IF(Table2[[#This Row],[Current Stock]]=0,"Out of Stock",IF(Table2[[#This Row],[Current Stock]]&lt;=5,"Low Stock","In Stock"))</f>
        <v>In Stock</v>
      </c>
    </row>
    <row r="60" spans="4:13" ht="15" customHeight="1" x14ac:dyDescent="0.35">
      <c r="D60" s="1" t="s">
        <v>245</v>
      </c>
      <c r="E60" s="1" t="str">
        <f>_xlfn.XLOOKUP(Table2[[#This Row],[Product ID]],Table1[Product ID],Table1[Category])</f>
        <v>Antiperspirant</v>
      </c>
      <c r="F60" s="1" t="str">
        <f>_xlfn.XLOOKUP(Table2[[#This Row],[Product ID]],Table1[Product ID],Table1[Brand])</f>
        <v>Cosmo</v>
      </c>
      <c r="G60" s="1" t="str">
        <f>_xlfn.XLOOKUP(Table2[[#This Row],[Product ID]],Table1[Product ID],Table1[Product Name])</f>
        <v>Energy</v>
      </c>
      <c r="H60" s="1" t="str">
        <f>_xlfn.XLOOKUP(Table2[[#This Row],[Product ID]],Table1[Product ID],Table1[Size_ml])</f>
        <v>50ml</v>
      </c>
      <c r="I60" s="1">
        <f>_xlfn.XLOOKUP(Table2[[#This Row],[Product ID]],Table1[Product ID],Table1[Costprice])</f>
        <v>1800</v>
      </c>
      <c r="J60" s="1">
        <f>SUMIFS(Table3[Qty],Table3[Product ID],Table2[[#This Row],[Product ID]])</f>
        <v>38</v>
      </c>
      <c r="K60" s="1">
        <f>SUMIFS(Table4[Qty],Table4[Product ID],Table2[[#This Row],[Product ID]])</f>
        <v>6</v>
      </c>
      <c r="L60" s="1">
        <f>Table2[[#This Row],[Total Purchased]]-Table2[[#This Row],[Total Sold]]</f>
        <v>32</v>
      </c>
      <c r="M60" s="1" t="str">
        <f>IF(Table2[[#This Row],[Current Stock]]=0,"Out of Stock",IF(Table2[[#This Row],[Current Stock]]&lt;=5,"Low Stock","In Stock"))</f>
        <v>In Stock</v>
      </c>
    </row>
    <row r="61" spans="4:13" ht="15" customHeight="1" x14ac:dyDescent="0.35">
      <c r="D61" s="1" t="s">
        <v>246</v>
      </c>
      <c r="E61" s="1" t="str">
        <f>_xlfn.XLOOKUP(Table2[[#This Row],[Product ID]],Table1[Product ID],Table1[Category])</f>
        <v>Antiperspirant</v>
      </c>
      <c r="F61" s="1" t="str">
        <f>_xlfn.XLOOKUP(Table2[[#This Row],[Product ID]],Table1[Product ID],Table1[Brand])</f>
        <v>Cosmo</v>
      </c>
      <c r="G61" s="1" t="str">
        <f>_xlfn.XLOOKUP(Table2[[#This Row],[Product ID]],Table1[Product ID],Table1[Product Name])</f>
        <v>Sensitive</v>
      </c>
      <c r="H61" s="1" t="str">
        <f>_xlfn.XLOOKUP(Table2[[#This Row],[Product ID]],Table1[Product ID],Table1[Size_ml])</f>
        <v>50ml</v>
      </c>
      <c r="I61" s="1">
        <f>_xlfn.XLOOKUP(Table2[[#This Row],[Product ID]],Table1[Product ID],Table1[Costprice])</f>
        <v>1800</v>
      </c>
      <c r="J61" s="1">
        <f>SUMIFS(Table3[Qty],Table3[Product ID],Table2[[#This Row],[Product ID]])</f>
        <v>24</v>
      </c>
      <c r="K61" s="1">
        <f>SUMIFS(Table4[Qty],Table4[Product ID],Table2[[#This Row],[Product ID]])</f>
        <v>0</v>
      </c>
      <c r="L61" s="1">
        <f>Table2[[#This Row],[Total Purchased]]-Table2[[#This Row],[Total Sold]]</f>
        <v>24</v>
      </c>
      <c r="M61" s="1" t="str">
        <f>IF(Table2[[#This Row],[Current Stock]]=0,"Out of Stock",IF(Table2[[#This Row],[Current Stock]]&lt;=5,"Low Stock","In Stock"))</f>
        <v>In Stock</v>
      </c>
    </row>
    <row r="62" spans="4:13" ht="15" customHeight="1" x14ac:dyDescent="0.35">
      <c r="D62" s="1" t="s">
        <v>247</v>
      </c>
      <c r="E62" s="1" t="str">
        <f>_xlfn.XLOOKUP(Table2[[#This Row],[Product ID]],Table1[Product ID],Table1[Category])</f>
        <v>Deodorant</v>
      </c>
      <c r="F62" s="1" t="str">
        <f>_xlfn.XLOOKUP(Table2[[#This Row],[Product ID]],Table1[Product ID],Table1[Brand])</f>
        <v>Nivea</v>
      </c>
      <c r="G62" s="1" t="str">
        <f>_xlfn.XLOOKUP(Table2[[#This Row],[Product ID]],Table1[Product ID],Table1[Product Name])</f>
        <v>Dry comfort</v>
      </c>
      <c r="H62" s="1" t="str">
        <f>_xlfn.XLOOKUP(Table2[[#This Row],[Product ID]],Table1[Product ID],Table1[Size_ml])</f>
        <v>50ml</v>
      </c>
      <c r="I62" s="1">
        <f>_xlfn.XLOOKUP(Table2[[#This Row],[Product ID]],Table1[Product ID],Table1[Costprice])</f>
        <v>1500</v>
      </c>
      <c r="J62" s="1">
        <f>SUMIFS(Table3[Qty],Table3[Product ID],Table2[[#This Row],[Product ID]])</f>
        <v>0</v>
      </c>
      <c r="K62" s="1">
        <f>SUMIFS(Table4[Qty],Table4[Product ID],Table2[[#This Row],[Product ID]])</f>
        <v>2</v>
      </c>
      <c r="L62" s="1">
        <f>Table2[[#This Row],[Total Purchased]]-Table2[[#This Row],[Total Sold]]</f>
        <v>-2</v>
      </c>
      <c r="M62" s="1" t="str">
        <f>IF(Table2[[#This Row],[Current Stock]]=0,"Out of Stock",IF(Table2[[#This Row],[Current Stock]]&lt;=5,"Low Stock","In Stock"))</f>
        <v>Low Stock</v>
      </c>
    </row>
    <row r="63" spans="4:13" ht="15" customHeight="1" x14ac:dyDescent="0.35">
      <c r="D63" s="1" t="s">
        <v>248</v>
      </c>
      <c r="E63" s="1" t="str">
        <f>_xlfn.XLOOKUP(Table2[[#This Row],[Product ID]],Table1[Product ID],Table1[Category])</f>
        <v>Deodorant</v>
      </c>
      <c r="F63" s="1" t="str">
        <f>_xlfn.XLOOKUP(Table2[[#This Row],[Product ID]],Table1[Product ID],Table1[Brand])</f>
        <v>Nivea</v>
      </c>
      <c r="G63" s="1" t="str">
        <f>_xlfn.XLOOKUP(Table2[[#This Row],[Product ID]],Table1[Product ID],Table1[Product Name])</f>
        <v>Dry impact</v>
      </c>
      <c r="H63" s="1" t="str">
        <f>_xlfn.XLOOKUP(Table2[[#This Row],[Product ID]],Table1[Product ID],Table1[Size_ml])</f>
        <v>50ml</v>
      </c>
      <c r="I63" s="1">
        <f>_xlfn.XLOOKUP(Table2[[#This Row],[Product ID]],Table1[Product ID],Table1[Costprice])</f>
        <v>1700</v>
      </c>
      <c r="J63" s="1">
        <f>SUMIFS(Table3[Qty],Table3[Product ID],Table2[[#This Row],[Product ID]])</f>
        <v>0</v>
      </c>
      <c r="K63" s="1">
        <f>SUMIFS(Table4[Qty],Table4[Product ID],Table2[[#This Row],[Product ID]])</f>
        <v>5</v>
      </c>
      <c r="L63" s="1">
        <f>Table2[[#This Row],[Total Purchased]]-Table2[[#This Row],[Total Sold]]</f>
        <v>-5</v>
      </c>
      <c r="M63" s="1" t="str">
        <f>IF(Table2[[#This Row],[Current Stock]]=0,"Out of Stock",IF(Table2[[#This Row],[Current Stock]]&lt;=5,"Low Stock","In Stock"))</f>
        <v>Low Stock</v>
      </c>
    </row>
    <row r="64" spans="4:13" ht="15" customHeight="1" x14ac:dyDescent="0.35">
      <c r="D64" s="1" t="s">
        <v>249</v>
      </c>
      <c r="E64" s="1" t="str">
        <f>_xlfn.XLOOKUP(Table2[[#This Row],[Product ID]],Table1[Product ID],Table1[Category])</f>
        <v>Deodorant</v>
      </c>
      <c r="F64" s="1" t="str">
        <f>_xlfn.XLOOKUP(Table2[[#This Row],[Product ID]],Table1[Product ID],Table1[Brand])</f>
        <v>Nivea</v>
      </c>
      <c r="G64" s="1" t="str">
        <f>_xlfn.XLOOKUP(Table2[[#This Row],[Product ID]],Table1[Product ID],Table1[Product Name])</f>
        <v>Fresh Active</v>
      </c>
      <c r="H64" s="1" t="str">
        <f>_xlfn.XLOOKUP(Table2[[#This Row],[Product ID]],Table1[Product ID],Table1[Size_ml])</f>
        <v>50ml</v>
      </c>
      <c r="I64" s="1">
        <f>_xlfn.XLOOKUP(Table2[[#This Row],[Product ID]],Table1[Product ID],Table1[Costprice])</f>
        <v>1500</v>
      </c>
      <c r="J64" s="1">
        <f>SUMIFS(Table3[Qty],Table3[Product ID],Table2[[#This Row],[Product ID]])</f>
        <v>0</v>
      </c>
      <c r="K64" s="1">
        <f>SUMIFS(Table4[Qty],Table4[Product ID],Table2[[#This Row],[Product ID]])</f>
        <v>0</v>
      </c>
      <c r="L64" s="1">
        <f>Table2[[#This Row],[Total Purchased]]-Table2[[#This Row],[Total Sold]]</f>
        <v>0</v>
      </c>
      <c r="M64" s="1" t="str">
        <f>IF(Table2[[#This Row],[Current Stock]]=0,"Out of Stock",IF(Table2[[#This Row],[Current Stock]]&lt;=5,"Low Stock","In Stock"))</f>
        <v>Out of Stock</v>
      </c>
    </row>
    <row r="65" spans="4:13" ht="15" customHeight="1" x14ac:dyDescent="0.35">
      <c r="D65" s="1" t="s">
        <v>250</v>
      </c>
      <c r="E65" s="1" t="str">
        <f>_xlfn.XLOOKUP(Table2[[#This Row],[Product ID]],Table1[Product ID],Table1[Category])</f>
        <v>oil perfume</v>
      </c>
      <c r="F65" s="1" t="str">
        <f>_xlfn.XLOOKUP(Table2[[#This Row],[Product ID]],Table1[Product ID],Table1[Brand])</f>
        <v>Touch</v>
      </c>
      <c r="G65" s="1" t="str">
        <f>_xlfn.XLOOKUP(Table2[[#This Row],[Product ID]],Table1[Product ID],Table1[Product Name])</f>
        <v>yellow</v>
      </c>
      <c r="H65" s="1" t="str">
        <f>_xlfn.XLOOKUP(Table2[[#This Row],[Product ID]],Table1[Product ID],Table1[Size_ml])</f>
        <v>10ml</v>
      </c>
      <c r="I65" s="1">
        <f>_xlfn.XLOOKUP(Table2[[#This Row],[Product ID]],Table1[Product ID],Table1[Costprice])</f>
        <v>700</v>
      </c>
      <c r="J65" s="1">
        <f>SUMIFS(Table3[Qty],Table3[Product ID],Table2[[#This Row],[Product ID]])</f>
        <v>18</v>
      </c>
      <c r="K65" s="1">
        <f>SUMIFS(Table4[Qty],Table4[Product ID],Table2[[#This Row],[Product ID]])</f>
        <v>22</v>
      </c>
      <c r="L65" s="1">
        <f>Table2[[#This Row],[Total Purchased]]-Table2[[#This Row],[Total Sold]]</f>
        <v>-4</v>
      </c>
      <c r="M65" s="1" t="str">
        <f>IF(Table2[[#This Row],[Current Stock]]=0,"Out of Stock",IF(Table2[[#This Row],[Current Stock]]&lt;=5,"Low Stock","In Stock"))</f>
        <v>Low Stock</v>
      </c>
    </row>
  </sheetData>
  <phoneticPr fontId="3" type="noConversion"/>
  <conditionalFormatting sqref="M5:M65">
    <cfRule type="containsText" dxfId="31" priority="2" operator="containsText" text="In Stock">
      <formula>NOT(ISERROR(SEARCH("In Stock",M5)))</formula>
    </cfRule>
    <cfRule type="containsText" dxfId="30" priority="3" operator="containsText" text="Low Stock">
      <formula>NOT(ISERROR(SEARCH("Low Stock",M5)))</formula>
    </cfRule>
    <cfRule type="containsText" dxfId="29" priority="4" operator="containsText" text="Out of Stock">
      <formula>NOT(ISERROR(SEARCH("Out of Stock",M5)))</formula>
    </cfRule>
  </conditionalFormatting>
  <conditionalFormatting sqref="D19:D65">
    <cfRule type="expression" dxfId="28" priority="15">
      <formula>COUNTIFS($G$5:$G$66,$G$5,$F$66:$F$66,$F$5,$E$5:$E$66,$E$5,$H$5:$H$66,$H$5)&gt;1</formula>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6810-B478-4EAD-9D7B-403C18A491B9}">
  <sheetPr codeName="Sheet7"/>
  <dimension ref="D4:F4"/>
  <sheetViews>
    <sheetView workbookViewId="0"/>
  </sheetViews>
  <sheetFormatPr defaultRowHeight="15" customHeight="1" x14ac:dyDescent="0.35"/>
  <cols>
    <col min="1" max="1" width="8.7265625" style="1"/>
    <col min="2" max="2" width="17.7265625" style="1" customWidth="1"/>
    <col min="3" max="3" width="3" style="1" customWidth="1"/>
    <col min="4" max="4" width="16.54296875" style="1" customWidth="1"/>
    <col min="5" max="5" width="13.26953125" style="1" customWidth="1"/>
    <col min="6" max="16384" width="8.7265625" style="1"/>
  </cols>
  <sheetData>
    <row r="4" spans="4:6" ht="15" customHeight="1" x14ac:dyDescent="0.35">
      <c r="D4" s="1" t="s">
        <v>23</v>
      </c>
      <c r="E4" s="1" t="s">
        <v>21</v>
      </c>
      <c r="F4" s="1" t="s">
        <v>22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85E88-97B8-485C-9123-5E640E9EA100}">
  <sheetPr codeName="Sheet8"/>
  <dimension ref="D4:F4"/>
  <sheetViews>
    <sheetView workbookViewId="0"/>
  </sheetViews>
  <sheetFormatPr defaultRowHeight="15" customHeight="1" x14ac:dyDescent="0.35"/>
  <cols>
    <col min="1" max="1" width="8.7265625" style="1"/>
    <col min="2" max="2" width="17.7265625" style="1" customWidth="1"/>
    <col min="3" max="3" width="3.6328125" style="1" customWidth="1"/>
    <col min="4" max="4" width="13.7265625" style="1" customWidth="1"/>
    <col min="5" max="5" width="15.90625" style="1" customWidth="1"/>
    <col min="6" max="16384" width="8.7265625" style="1"/>
  </cols>
  <sheetData>
    <row r="4" spans="4:6" ht="15" customHeight="1" x14ac:dyDescent="0.35">
      <c r="D4" s="1" t="s">
        <v>14</v>
      </c>
      <c r="E4" s="1" t="s">
        <v>24</v>
      </c>
      <c r="F4" s="1" t="s">
        <v>22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A054F-26AC-4851-9BA7-96426C0B99A5}">
  <sheetPr codeName="Sheet9"/>
  <dimension ref="A2:Z24"/>
  <sheetViews>
    <sheetView workbookViewId="0"/>
  </sheetViews>
  <sheetFormatPr defaultRowHeight="14.5" x14ac:dyDescent="0.35"/>
  <cols>
    <col min="1" max="1" width="14.1796875" bestFit="1" customWidth="1"/>
    <col min="2" max="2" width="14.1796875" customWidth="1"/>
    <col min="3" max="3" width="6.81640625" bestFit="1" customWidth="1"/>
    <col min="4" max="4" width="12.36328125" bestFit="1" customWidth="1"/>
    <col min="5" max="5" width="12.7265625" bestFit="1" customWidth="1"/>
    <col min="6" max="7" width="12.36328125" bestFit="1" customWidth="1"/>
    <col min="8" max="8" width="10.26953125" bestFit="1" customWidth="1"/>
    <col min="10" max="10" width="12.36328125" bestFit="1" customWidth="1"/>
    <col min="11" max="11" width="10.26953125" bestFit="1" customWidth="1"/>
    <col min="13" max="13" width="12.36328125" bestFit="1" customWidth="1"/>
    <col min="14" max="14" width="10.08984375" bestFit="1" customWidth="1"/>
    <col min="15" max="15" width="10.08984375" customWidth="1"/>
    <col min="16" max="16" width="12.36328125" bestFit="1" customWidth="1"/>
    <col min="17" max="17" width="10.08984375" bestFit="1" customWidth="1"/>
    <col min="18" max="18" width="11.81640625" customWidth="1"/>
    <col min="19" max="19" width="12.36328125" bestFit="1" customWidth="1"/>
    <col min="20" max="20" width="12.7265625" bestFit="1" customWidth="1"/>
    <col min="21" max="21" width="18.453125" bestFit="1" customWidth="1"/>
    <col min="22" max="22" width="12.36328125" bestFit="1" customWidth="1"/>
    <col min="23" max="23" width="18.7265625" bestFit="1" customWidth="1"/>
    <col min="25" max="25" width="12.36328125" bestFit="1" customWidth="1"/>
    <col min="26" max="26" width="17.6328125" bestFit="1" customWidth="1"/>
    <col min="29" max="29" width="18.453125" bestFit="1" customWidth="1"/>
    <col min="30" max="30" width="18.7265625" bestFit="1" customWidth="1"/>
  </cols>
  <sheetData>
    <row r="2" spans="1:26" x14ac:dyDescent="0.35">
      <c r="A2" t="s">
        <v>251</v>
      </c>
      <c r="D2" s="11" t="s">
        <v>256</v>
      </c>
      <c r="E2" t="s">
        <v>251</v>
      </c>
      <c r="G2" s="11" t="s">
        <v>256</v>
      </c>
      <c r="H2" t="s">
        <v>277</v>
      </c>
      <c r="J2" s="11" t="s">
        <v>256</v>
      </c>
      <c r="K2" t="s">
        <v>277</v>
      </c>
      <c r="M2" s="11" t="s">
        <v>256</v>
      </c>
      <c r="N2" t="s">
        <v>258</v>
      </c>
      <c r="P2" s="11" t="s">
        <v>256</v>
      </c>
      <c r="Q2" t="s">
        <v>258</v>
      </c>
      <c r="S2" s="11" t="s">
        <v>256</v>
      </c>
      <c r="T2" t="s">
        <v>251</v>
      </c>
      <c r="V2" s="11" t="s">
        <v>256</v>
      </c>
      <c r="W2" t="s">
        <v>281</v>
      </c>
      <c r="Y2" s="11" t="s">
        <v>256</v>
      </c>
      <c r="Z2" t="s">
        <v>259</v>
      </c>
    </row>
    <row r="3" spans="1:26" x14ac:dyDescent="0.35">
      <c r="A3" s="16">
        <v>307500</v>
      </c>
      <c r="B3" s="16">
        <f>GETPIVOTDATA("[Measures].[Total Revenue]",$A$2)</f>
        <v>307500</v>
      </c>
      <c r="D3" s="13" t="s">
        <v>282</v>
      </c>
      <c r="E3" s="16">
        <v>307500</v>
      </c>
      <c r="G3" s="12">
        <v>46082</v>
      </c>
      <c r="H3" s="54">
        <v>33200</v>
      </c>
      <c r="J3" s="13" t="s">
        <v>44</v>
      </c>
      <c r="K3" s="16">
        <v>30000</v>
      </c>
      <c r="M3" s="13" t="s">
        <v>64</v>
      </c>
      <c r="N3" s="54">
        <v>1</v>
      </c>
      <c r="P3" s="13" t="s">
        <v>44</v>
      </c>
      <c r="Q3" s="54">
        <v>20</v>
      </c>
      <c r="S3" s="13" t="s">
        <v>177</v>
      </c>
      <c r="T3" s="16">
        <v>85500</v>
      </c>
      <c r="V3" s="13" t="s">
        <v>39</v>
      </c>
      <c r="W3" s="54">
        <v>42</v>
      </c>
      <c r="Y3" s="13" t="s">
        <v>260</v>
      </c>
      <c r="Z3" s="54">
        <v>33</v>
      </c>
    </row>
    <row r="4" spans="1:26" x14ac:dyDescent="0.35">
      <c r="D4" s="13" t="s">
        <v>257</v>
      </c>
      <c r="E4" s="54">
        <v>307500</v>
      </c>
      <c r="G4" s="12">
        <v>46083</v>
      </c>
      <c r="H4" s="54">
        <v>12000</v>
      </c>
      <c r="J4" s="13" t="s">
        <v>33</v>
      </c>
      <c r="K4" s="16">
        <v>12000</v>
      </c>
      <c r="M4" s="13" t="s">
        <v>48</v>
      </c>
      <c r="N4" s="54">
        <v>2</v>
      </c>
      <c r="P4" s="13" t="s">
        <v>33</v>
      </c>
      <c r="Q4" s="54">
        <v>12</v>
      </c>
      <c r="S4" s="13" t="s">
        <v>186</v>
      </c>
      <c r="T4" s="16">
        <v>54000</v>
      </c>
      <c r="V4" s="13" t="s">
        <v>114</v>
      </c>
      <c r="W4" s="54">
        <v>34</v>
      </c>
      <c r="Y4" s="13" t="s">
        <v>261</v>
      </c>
      <c r="Z4" s="54">
        <v>9</v>
      </c>
    </row>
    <row r="5" spans="1:26" x14ac:dyDescent="0.35">
      <c r="A5" t="s">
        <v>277</v>
      </c>
      <c r="G5" s="12">
        <v>46085</v>
      </c>
      <c r="H5" s="54">
        <v>2400</v>
      </c>
      <c r="J5" s="13" t="s">
        <v>62</v>
      </c>
      <c r="K5" s="16">
        <v>12000</v>
      </c>
      <c r="M5" s="13" t="s">
        <v>55</v>
      </c>
      <c r="N5" s="54">
        <v>2</v>
      </c>
      <c r="P5" s="13" t="s">
        <v>62</v>
      </c>
      <c r="Q5" s="54">
        <v>10</v>
      </c>
      <c r="S5" s="13" t="s">
        <v>159</v>
      </c>
      <c r="T5" s="16">
        <v>11000</v>
      </c>
      <c r="V5" s="13" t="s">
        <v>133</v>
      </c>
      <c r="W5" s="54">
        <v>32</v>
      </c>
      <c r="Y5" s="13" t="s">
        <v>262</v>
      </c>
      <c r="Z5" s="54">
        <v>19</v>
      </c>
    </row>
    <row r="6" spans="1:26" x14ac:dyDescent="0.35">
      <c r="A6" s="16">
        <v>71800</v>
      </c>
      <c r="B6" s="16">
        <f>GETPIVOTDATA("[Measures].[Total profit]",$A$5)</f>
        <v>71800</v>
      </c>
      <c r="G6" s="12">
        <v>46086</v>
      </c>
      <c r="H6" s="54">
        <v>20000</v>
      </c>
      <c r="J6" s="13" t="s">
        <v>52</v>
      </c>
      <c r="K6" s="16">
        <v>8000</v>
      </c>
      <c r="M6" s="13" t="s">
        <v>56</v>
      </c>
      <c r="N6" s="54">
        <v>5</v>
      </c>
      <c r="P6" s="13" t="s">
        <v>52</v>
      </c>
      <c r="Q6" s="54">
        <v>10</v>
      </c>
      <c r="S6" s="13" t="s">
        <v>181</v>
      </c>
      <c r="T6" s="16">
        <v>157000</v>
      </c>
      <c r="V6" s="13" t="s">
        <v>55</v>
      </c>
      <c r="W6" s="54">
        <v>24</v>
      </c>
      <c r="Y6" s="13" t="s">
        <v>257</v>
      </c>
      <c r="Z6" s="54">
        <v>61</v>
      </c>
    </row>
    <row r="7" spans="1:26" x14ac:dyDescent="0.35">
      <c r="G7" s="12">
        <v>46088</v>
      </c>
      <c r="H7" s="54">
        <v>3000</v>
      </c>
      <c r="J7" s="13" t="s">
        <v>56</v>
      </c>
      <c r="K7" s="16">
        <v>4000</v>
      </c>
      <c r="M7" s="13" t="s">
        <v>52</v>
      </c>
      <c r="N7" s="54">
        <v>10</v>
      </c>
      <c r="P7" s="13" t="s">
        <v>56</v>
      </c>
      <c r="Q7" s="54">
        <v>5</v>
      </c>
      <c r="S7" s="13" t="s">
        <v>257</v>
      </c>
      <c r="T7" s="16">
        <v>307500</v>
      </c>
      <c r="V7" s="13" t="s">
        <v>134</v>
      </c>
      <c r="W7" s="54">
        <v>24</v>
      </c>
    </row>
    <row r="8" spans="1:26" x14ac:dyDescent="0.35">
      <c r="A8" t="s">
        <v>269</v>
      </c>
      <c r="G8" s="12">
        <v>46090</v>
      </c>
      <c r="H8" s="54">
        <v>1200</v>
      </c>
      <c r="J8" s="13" t="s">
        <v>257</v>
      </c>
      <c r="K8" s="16">
        <v>66000</v>
      </c>
      <c r="M8" s="13" t="s">
        <v>62</v>
      </c>
      <c r="N8" s="54">
        <v>10</v>
      </c>
      <c r="P8" s="13" t="s">
        <v>257</v>
      </c>
      <c r="Q8" s="54">
        <v>57</v>
      </c>
      <c r="V8" s="13" t="s">
        <v>40</v>
      </c>
      <c r="W8" s="54">
        <v>24</v>
      </c>
    </row>
    <row r="9" spans="1:26" x14ac:dyDescent="0.35">
      <c r="A9" s="17">
        <v>0.23349593495934959</v>
      </c>
      <c r="B9" s="18">
        <f>GETPIVOTDATA("[Measures].[profit margin]",$A$8)</f>
        <v>0.23349593495934959</v>
      </c>
      <c r="G9" s="13" t="s">
        <v>257</v>
      </c>
      <c r="H9" s="54">
        <v>71800</v>
      </c>
      <c r="M9" s="13" t="s">
        <v>33</v>
      </c>
      <c r="N9" s="54">
        <v>12</v>
      </c>
      <c r="V9" s="13" t="s">
        <v>70</v>
      </c>
      <c r="W9" s="54">
        <v>22</v>
      </c>
    </row>
    <row r="10" spans="1:26" x14ac:dyDescent="0.35">
      <c r="M10" s="13" t="s">
        <v>44</v>
      </c>
      <c r="N10" s="54">
        <v>20</v>
      </c>
      <c r="V10" s="13" t="s">
        <v>65</v>
      </c>
      <c r="W10" s="54">
        <v>20</v>
      </c>
    </row>
    <row r="11" spans="1:26" x14ac:dyDescent="0.35">
      <c r="A11" t="s">
        <v>278</v>
      </c>
      <c r="M11" s="13" t="s">
        <v>257</v>
      </c>
      <c r="N11" s="54">
        <v>62</v>
      </c>
      <c r="V11" s="13" t="s">
        <v>132</v>
      </c>
      <c r="W11" s="54">
        <v>20</v>
      </c>
    </row>
    <row r="12" spans="1:26" x14ac:dyDescent="0.35">
      <c r="A12" s="54">
        <v>8</v>
      </c>
      <c r="B12">
        <f>GETPIVOTDATA("[Measures].[Total Orders]",$A$11)</f>
        <v>8</v>
      </c>
      <c r="V12" s="13" t="s">
        <v>89</v>
      </c>
      <c r="W12" s="54">
        <v>20</v>
      </c>
    </row>
    <row r="13" spans="1:26" x14ac:dyDescent="0.35">
      <c r="V13" s="13" t="s">
        <v>257</v>
      </c>
      <c r="W13" s="54">
        <v>262</v>
      </c>
    </row>
    <row r="14" spans="1:26" x14ac:dyDescent="0.35">
      <c r="A14" t="s">
        <v>279</v>
      </c>
    </row>
    <row r="15" spans="1:26" x14ac:dyDescent="0.35">
      <c r="A15" s="16">
        <v>235700</v>
      </c>
      <c r="B15" s="16">
        <f>GETPIVOTDATA("[Measures].[Cogs]",$A$14)</f>
        <v>235700</v>
      </c>
    </row>
    <row r="17" spans="1:2" x14ac:dyDescent="0.35">
      <c r="A17" t="s">
        <v>253</v>
      </c>
    </row>
    <row r="18" spans="1:2" x14ac:dyDescent="0.35">
      <c r="A18" s="54">
        <v>542</v>
      </c>
      <c r="B18">
        <f>GETPIVOTDATA("[Measures].[Current stock qty]",$A$17)</f>
        <v>542</v>
      </c>
    </row>
    <row r="20" spans="1:2" x14ac:dyDescent="0.35">
      <c r="A20" t="s">
        <v>280</v>
      </c>
    </row>
    <row r="21" spans="1:2" x14ac:dyDescent="0.35">
      <c r="A21" s="16">
        <v>2349100</v>
      </c>
      <c r="B21" s="16">
        <f>GETPIVOTDATA("[Measures].[Inventory value]",$A$20)</f>
        <v>2349100</v>
      </c>
    </row>
    <row r="23" spans="1:2" x14ac:dyDescent="0.35">
      <c r="A23" t="s">
        <v>255</v>
      </c>
    </row>
    <row r="24" spans="1:2" x14ac:dyDescent="0.35">
      <c r="A24" s="54">
        <v>9</v>
      </c>
      <c r="B24">
        <f>GETPIVOTDATA("[Measures].[Stock risk count]",$A$23)</f>
        <v>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6AC77-59E6-455B-B0D0-53114D3F4EF1}">
  <sheetPr codeName="Sheet10"/>
  <dimension ref="A1:U25"/>
  <sheetViews>
    <sheetView zoomScale="84" workbookViewId="0">
      <selection activeCell="F17" sqref="F17"/>
    </sheetView>
  </sheetViews>
  <sheetFormatPr defaultRowHeight="14.5" x14ac:dyDescent="0.35"/>
  <cols>
    <col min="1" max="1" width="14" customWidth="1"/>
    <col min="2" max="2" width="11.1796875" customWidth="1"/>
    <col min="4" max="4" width="17.36328125" customWidth="1"/>
    <col min="5" max="5" width="20.7265625" customWidth="1"/>
    <col min="6" max="6" width="18.90625" customWidth="1"/>
    <col min="7" max="7" width="17.36328125" customWidth="1"/>
    <col min="9" max="9" width="13" customWidth="1"/>
    <col min="11" max="11" width="14.81640625" customWidth="1"/>
    <col min="13" max="13" width="14" customWidth="1"/>
    <col min="21" max="21" width="89.54296875" customWidth="1"/>
  </cols>
  <sheetData>
    <row r="1" spans="1:13" x14ac:dyDescent="0.35">
      <c r="A1" s="3" t="s">
        <v>147</v>
      </c>
      <c r="D1" s="3" t="s">
        <v>148</v>
      </c>
      <c r="F1" s="3" t="s">
        <v>149</v>
      </c>
      <c r="I1" s="4" t="s">
        <v>156</v>
      </c>
      <c r="K1" s="4" t="s">
        <v>148</v>
      </c>
      <c r="M1" s="4" t="s">
        <v>149</v>
      </c>
    </row>
    <row r="2" spans="1:13" x14ac:dyDescent="0.35">
      <c r="A2" t="str" cm="1">
        <f t="array" ref="A2:A7">_xlfn._xlws.SORT(_xlfn.UNIQUE(Table1[Category]))</f>
        <v>Antiperspirant</v>
      </c>
      <c r="B2" t="s">
        <v>141</v>
      </c>
      <c r="D2" t="str" cm="1">
        <f t="array" ref="D2:D5">_xlfn._xlws.SORT(_xlfn.UNIQUE(_xlfn._xlws.FILTER(Table1[Brand],Table1[Category]='Entry Form'!E7)))</f>
        <v>Be tres</v>
      </c>
      <c r="E2" t="s">
        <v>142</v>
      </c>
      <c r="F2" t="str" cm="1">
        <f t="array" ref="F2:F5">_xlfn._xlws.SORT(_xlfn.UNIQUE(_xlfn._xlws.FILTER(Table1[Product Name],(Table1[Category]='Entry Form'!E7)*(Table1[Brand]='Entry Form'!E8))))</f>
        <v>Bare kiss</v>
      </c>
      <c r="G2" t="s">
        <v>128</v>
      </c>
      <c r="I2" t="str" cm="1">
        <f t="array" ref="I2:I7">_xlfn._xlws.SORT(_xlfn.UNIQUE(Table1[Category]))</f>
        <v>Antiperspirant</v>
      </c>
      <c r="K2" t="str" cm="1">
        <f t="array" ref="K2:K5">_xlfn._xlws.SORT(_xlfn.UNIQUE(_xlfn._xlws.FILTER(Table1[Brand],Table1[Category]='Entry Form'!K7)))</f>
        <v>Be tres</v>
      </c>
      <c r="M2" t="str" cm="1">
        <f t="array" ref="M2:M5">_xlfn._xlws.SORT(_xlfn.UNIQUE(_xlfn._xlws.FILTER(Table1[Product Name],(Table1[Category]='Entry Form'!K7)*(Table1[Brand]='Entry Form'!K8))))</f>
        <v>Bare kiss</v>
      </c>
    </row>
    <row r="3" spans="1:13" x14ac:dyDescent="0.35">
      <c r="A3" t="str">
        <v>Body mist</v>
      </c>
      <c r="D3" t="str">
        <v>Confetti London</v>
      </c>
      <c r="F3" t="str">
        <v>Dear</v>
      </c>
      <c r="I3" t="str">
        <v>Body mist</v>
      </c>
      <c r="K3" t="str">
        <v>Confetti London</v>
      </c>
      <c r="M3" t="str">
        <v>Dear</v>
      </c>
    </row>
    <row r="4" spans="1:13" x14ac:dyDescent="0.35">
      <c r="A4" t="str">
        <v>Body Spray</v>
      </c>
      <c r="D4" t="str">
        <v>Pendora Scent</v>
      </c>
      <c r="F4" t="str">
        <v>joy</v>
      </c>
      <c r="I4" t="str">
        <v>Body Spray</v>
      </c>
      <c r="K4" t="str">
        <v>Pendora Scent</v>
      </c>
      <c r="M4" t="str">
        <v>joy</v>
      </c>
    </row>
    <row r="5" spans="1:13" x14ac:dyDescent="0.35">
      <c r="A5" t="str">
        <v>Deodorant</v>
      </c>
      <c r="D5" t="str">
        <v>Victoria secret</v>
      </c>
      <c r="F5" t="str">
        <v>wish</v>
      </c>
      <c r="I5" t="str">
        <v>Deodorant</v>
      </c>
      <c r="K5" t="str">
        <v>Victoria secret</v>
      </c>
      <c r="M5" t="str">
        <v>wish</v>
      </c>
    </row>
    <row r="6" spans="1:13" x14ac:dyDescent="0.35">
      <c r="A6" t="str">
        <v>oil perfume</v>
      </c>
      <c r="I6" t="str">
        <v>oil perfume</v>
      </c>
    </row>
    <row r="7" spans="1:13" x14ac:dyDescent="0.35">
      <c r="A7" t="str">
        <v>Perfume</v>
      </c>
      <c r="I7" t="str">
        <v>Perfume</v>
      </c>
    </row>
    <row r="17" spans="1:21" x14ac:dyDescent="0.35">
      <c r="A17" t="str" cm="1">
        <f t="array" ref="A17:A22">_xlfn._xlws.SORT(_xlfn.UNIQUE(Table1[Category]))</f>
        <v>Antiperspirant</v>
      </c>
      <c r="D17" t="str" cm="1">
        <f t="array" ref="D17:D20">_xlfn._xlws.SORT(_xlfn.UNIQUE(_xlfn._xlws.FILTER(Table1[Brand],Table1[Category]=Products!M6)))</f>
        <v>Confetti London</v>
      </c>
      <c r="F17" t="str" cm="1">
        <f t="array" ref="F17:F24">_xlfn._xlws.SORT(_xlfn.UNIQUE(_xlfn._xlws.FILTER(Table1[Product Name],(Table1[Category]=Products!M6)*(Table1[Brand]=Products!M7))))</f>
        <v>coral</v>
      </c>
    </row>
    <row r="18" spans="1:21" x14ac:dyDescent="0.35">
      <c r="A18" t="str">
        <v>Body mist</v>
      </c>
      <c r="D18" t="str">
        <v>Dear body</v>
      </c>
      <c r="F18" t="str">
        <v>dear</v>
      </c>
      <c r="T18" t="s">
        <v>252</v>
      </c>
      <c r="U18" s="14" t="s">
        <v>263</v>
      </c>
    </row>
    <row r="19" spans="1:21" x14ac:dyDescent="0.35">
      <c r="A19" t="str">
        <v>Body Spray</v>
      </c>
      <c r="D19" t="str">
        <v>Riggs</v>
      </c>
      <c r="F19" t="str">
        <v>Joy</v>
      </c>
      <c r="T19" t="s">
        <v>265</v>
      </c>
      <c r="U19" s="14" t="s">
        <v>264</v>
      </c>
    </row>
    <row r="20" spans="1:21" x14ac:dyDescent="0.35">
      <c r="A20" t="str">
        <v>Deodorant</v>
      </c>
      <c r="D20" t="str">
        <v>Smart Collection</v>
      </c>
      <c r="F20" t="str">
        <v>live</v>
      </c>
      <c r="T20" t="s">
        <v>267</v>
      </c>
      <c r="U20" s="14" t="s">
        <v>266</v>
      </c>
    </row>
    <row r="21" spans="1:21" x14ac:dyDescent="0.35">
      <c r="A21" t="str">
        <v>oil perfume</v>
      </c>
      <c r="F21" t="str">
        <v>maple</v>
      </c>
      <c r="T21" t="s">
        <v>269</v>
      </c>
      <c r="U21" s="15" t="s">
        <v>268</v>
      </c>
    </row>
    <row r="22" spans="1:21" x14ac:dyDescent="0.35">
      <c r="A22" t="str">
        <v>Perfume</v>
      </c>
      <c r="F22" t="str">
        <v>nude</v>
      </c>
      <c r="T22" t="s">
        <v>272</v>
      </c>
      <c r="U22" s="14" t="s">
        <v>270</v>
      </c>
    </row>
    <row r="23" spans="1:21" x14ac:dyDescent="0.35">
      <c r="F23" t="str">
        <v>wish</v>
      </c>
      <c r="T23" t="s">
        <v>273</v>
      </c>
      <c r="U23" s="15" t="s">
        <v>271</v>
      </c>
    </row>
    <row r="24" spans="1:21" x14ac:dyDescent="0.35">
      <c r="F24" t="str">
        <v>you</v>
      </c>
      <c r="T24" t="s">
        <v>274</v>
      </c>
      <c r="U24" s="15" t="s">
        <v>271</v>
      </c>
    </row>
    <row r="25" spans="1:21" x14ac:dyDescent="0.35">
      <c r="T25" t="s">
        <v>276</v>
      </c>
      <c r="U25" s="14" t="s">
        <v>275</v>
      </c>
    </row>
  </sheetData>
  <dataValidations count="3">
    <dataValidation type="list" allowBlank="1" showInputMessage="1" showErrorMessage="1" sqref="B2" xr:uid="{87928779-3CFE-4FE5-9CDC-10580FD42C59}">
      <formula1>_xlfn.ANCHORARRAY($A$2)</formula1>
    </dataValidation>
    <dataValidation type="list" allowBlank="1" showInputMessage="1" showErrorMessage="1" sqref="E2" xr:uid="{877B6A25-F146-4D07-B0E1-3D1478B76C0A}">
      <formula1>_xlfn.ANCHORARRAY($D$2)</formula1>
    </dataValidation>
    <dataValidation type="list" allowBlank="1" showInputMessage="1" showErrorMessage="1" sqref="G2" xr:uid="{A3F57E5B-FC93-45A8-BFCE-342166B323B6}">
      <formula1>_xlfn.ANCHORARRAY($F$2)</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80D3B58E-A436-4A10-8DDC-5842C4A9A162}">
  <ds:schemaRefs/>
</ds:datastoreItem>
</file>

<file path=customXml/itemProps2.xml><?xml version="1.0" encoding="utf-8"?>
<ds:datastoreItem xmlns:ds="http://schemas.openxmlformats.org/officeDocument/2006/customXml" ds:itemID="{D650C544-5354-4178-85E2-F24DC756F7C5}">
  <ds:schemaRefs/>
</ds:datastoreItem>
</file>

<file path=customXml/itemProps3.xml><?xml version="1.0" encoding="utf-8"?>
<ds:datastoreItem xmlns:ds="http://schemas.openxmlformats.org/officeDocument/2006/customXml" ds:itemID="{4873467D-51A7-459D-98C0-56CE3820264C}">
  <ds:schemaRefs/>
</ds:datastoreItem>
</file>

<file path=customXml/itemProps4.xml><?xml version="1.0" encoding="utf-8"?>
<ds:datastoreItem xmlns:ds="http://schemas.openxmlformats.org/officeDocument/2006/customXml" ds:itemID="{F707B6F9-24D2-4EFE-8A1A-7363CEAB34DB}">
  <ds:schemaRefs/>
</ds:datastoreItem>
</file>

<file path=customXml/itemProps5.xml><?xml version="1.0" encoding="utf-8"?>
<ds:datastoreItem xmlns:ds="http://schemas.openxmlformats.org/officeDocument/2006/customXml" ds:itemID="{840DEC74-5724-4114-BEB6-75CFB85720FF}">
  <ds:schemaRefs/>
</ds:datastoreItem>
</file>

<file path=customXml/itemProps6.xml><?xml version="1.0" encoding="utf-8"?>
<ds:datastoreItem xmlns:ds="http://schemas.openxmlformats.org/officeDocument/2006/customXml" ds:itemID="{60D9BFEB-7560-4253-9A90-F862112226E1}">
  <ds:schemaRefs/>
</ds:datastoreItem>
</file>

<file path=customXml/itemProps7.xml><?xml version="1.0" encoding="utf-8"?>
<ds:datastoreItem xmlns:ds="http://schemas.openxmlformats.org/officeDocument/2006/customXml" ds:itemID="{3E5C166E-878B-4F3D-9FA2-3D534FDD40E9}">
  <ds:schemaRefs/>
</ds:datastoreItem>
</file>

<file path=customXml/itemProps8.xml><?xml version="1.0" encoding="utf-8"?>
<ds:datastoreItem xmlns:ds="http://schemas.openxmlformats.org/officeDocument/2006/customXml" ds:itemID="{94586A81-DA2D-4C74-BB9E-09B6CDDE5C5B}">
  <ds:schemaRefs/>
</ds:datastoreItem>
</file>

<file path=customXml/itemProps9.xml><?xml version="1.0" encoding="utf-8"?>
<ds:datastoreItem xmlns:ds="http://schemas.openxmlformats.org/officeDocument/2006/customXml" ds:itemID="{235AA1AA-DC4D-41DE-8613-AD119E92B540}">
  <ds:schemaRefs/>
</ds:datastoreItem>
</file>

<file path=customXml/itemProps10.xml><?xml version="1.0" encoding="utf-8"?>
<ds:datastoreItem xmlns:ds="http://schemas.openxmlformats.org/officeDocument/2006/customXml" ds:itemID="{753CF641-1D76-4C93-B67C-AE73653D5564}">
  <ds:schemaRefs/>
</ds:datastoreItem>
</file>

<file path=customXml/itemProps11.xml><?xml version="1.0" encoding="utf-8"?>
<ds:datastoreItem xmlns:ds="http://schemas.openxmlformats.org/officeDocument/2006/customXml" ds:itemID="{36B42B79-16DC-482B-9AB7-173EC68AFB41}">
  <ds:schemaRefs/>
</ds:datastoreItem>
</file>

<file path=customXml/itemProps12.xml><?xml version="1.0" encoding="utf-8"?>
<ds:datastoreItem xmlns:ds="http://schemas.openxmlformats.org/officeDocument/2006/customXml" ds:itemID="{CB9CFE9E-5FA6-4B76-A77D-BD9A67FEC020}">
  <ds:schemaRefs/>
</ds:datastoreItem>
</file>

<file path=customXml/itemProps13.xml><?xml version="1.0" encoding="utf-8"?>
<ds:datastoreItem xmlns:ds="http://schemas.openxmlformats.org/officeDocument/2006/customXml" ds:itemID="{93774551-9A85-4D1D-A367-5B0209BAC718}">
  <ds:schemaRefs/>
</ds:datastoreItem>
</file>

<file path=customXml/itemProps14.xml><?xml version="1.0" encoding="utf-8"?>
<ds:datastoreItem xmlns:ds="http://schemas.openxmlformats.org/officeDocument/2006/customXml" ds:itemID="{D218277D-D0E1-4FBD-9BDB-F53671AF490A}">
  <ds:schemaRefs/>
</ds:datastoreItem>
</file>

<file path=customXml/itemProps15.xml><?xml version="1.0" encoding="utf-8"?>
<ds:datastoreItem xmlns:ds="http://schemas.openxmlformats.org/officeDocument/2006/customXml" ds:itemID="{58C22D65-BEAA-41CC-9FF1-78E205081691}">
  <ds:schemaRefs/>
</ds:datastoreItem>
</file>

<file path=customXml/itemProps16.xml><?xml version="1.0" encoding="utf-8"?>
<ds:datastoreItem xmlns:ds="http://schemas.openxmlformats.org/officeDocument/2006/customXml" ds:itemID="{009778B4-80F0-4C0D-A0A6-8CAE92809FB2}">
  <ds:schemaRefs/>
</ds:datastoreItem>
</file>

<file path=customXml/itemProps17.xml><?xml version="1.0" encoding="utf-8"?>
<ds:datastoreItem xmlns:ds="http://schemas.openxmlformats.org/officeDocument/2006/customXml" ds:itemID="{244B3CD6-5ACF-456E-BD4D-CD407A7B3D75}">
  <ds:schemaRefs/>
</ds:datastoreItem>
</file>

<file path=customXml/itemProps18.xml><?xml version="1.0" encoding="utf-8"?>
<ds:datastoreItem xmlns:ds="http://schemas.openxmlformats.org/officeDocument/2006/customXml" ds:itemID="{A3F3AA7D-DEB1-40CF-8E54-BD45F811A499}">
  <ds:schemaRefs/>
</ds:datastoreItem>
</file>

<file path=customXml/itemProps19.xml><?xml version="1.0" encoding="utf-8"?>
<ds:datastoreItem xmlns:ds="http://schemas.openxmlformats.org/officeDocument/2006/customXml" ds:itemID="{9CD408DF-36EA-4783-A809-EACD216FB3B7}">
  <ds:schemaRefs/>
</ds:datastoreItem>
</file>

<file path=customXml/itemProps20.xml><?xml version="1.0" encoding="utf-8"?>
<ds:datastoreItem xmlns:ds="http://schemas.openxmlformats.org/officeDocument/2006/customXml" ds:itemID="{392709B0-57D7-4508-82C9-31C135D1C438}">
  <ds:schemaRefs/>
</ds:datastoreItem>
</file>

<file path=customXml/itemProps21.xml><?xml version="1.0" encoding="utf-8"?>
<ds:datastoreItem xmlns:ds="http://schemas.openxmlformats.org/officeDocument/2006/customXml" ds:itemID="{BF36050C-2212-4544-A96A-676E8F8F8069}">
  <ds:schemaRefs/>
</ds:datastoreItem>
</file>

<file path=customXml/itemProps22.xml><?xml version="1.0" encoding="utf-8"?>
<ds:datastoreItem xmlns:ds="http://schemas.openxmlformats.org/officeDocument/2006/customXml" ds:itemID="{22721749-53EB-4477-BB2D-0DCC9D468E54}">
  <ds:schemaRefs/>
</ds:datastoreItem>
</file>

<file path=customXml/itemProps23.xml><?xml version="1.0" encoding="utf-8"?>
<ds:datastoreItem xmlns:ds="http://schemas.openxmlformats.org/officeDocument/2006/customXml" ds:itemID="{DE0451F5-89E5-4C5B-BDE5-867B90A4A161}">
  <ds:schemaRefs/>
</ds:datastoreItem>
</file>

<file path=customXml/itemProps24.xml><?xml version="1.0" encoding="utf-8"?>
<ds:datastoreItem xmlns:ds="http://schemas.openxmlformats.org/officeDocument/2006/customXml" ds:itemID="{12466D88-45AC-4933-86C7-79D108EBD948}">
  <ds:schemaRefs/>
</ds:datastoreItem>
</file>

<file path=customXml/itemProps25.xml><?xml version="1.0" encoding="utf-8"?>
<ds:datastoreItem xmlns:ds="http://schemas.openxmlformats.org/officeDocument/2006/customXml" ds:itemID="{47A9FBA9-DC84-40F9-82F8-D23F3F93279B}">
  <ds:schemaRefs/>
</ds:datastoreItem>
</file>

<file path=customXml/itemProps26.xml><?xml version="1.0" encoding="utf-8"?>
<ds:datastoreItem xmlns:ds="http://schemas.openxmlformats.org/officeDocument/2006/customXml" ds:itemID="{B406C1F5-C36B-4D24-A088-D7E1BF7A2992}">
  <ds:schemaRefs/>
</ds:datastoreItem>
</file>

<file path=customXml/itemProps27.xml><?xml version="1.0" encoding="utf-8"?>
<ds:datastoreItem xmlns:ds="http://schemas.openxmlformats.org/officeDocument/2006/customXml" ds:itemID="{F77E1EA3-D8A4-4054-AF66-BFD31F290769}">
  <ds:schemaRefs/>
</ds:datastoreItem>
</file>

<file path=customXml/itemProps28.xml><?xml version="1.0" encoding="utf-8"?>
<ds:datastoreItem xmlns:ds="http://schemas.openxmlformats.org/officeDocument/2006/customXml" ds:itemID="{403BF2FB-27A9-4A2E-91B5-4771011D95F7}">
  <ds:schemaRefs/>
</ds:datastoreItem>
</file>

<file path=customXml/itemProps29.xml><?xml version="1.0" encoding="utf-8"?>
<ds:datastoreItem xmlns:ds="http://schemas.openxmlformats.org/officeDocument/2006/customXml" ds:itemID="{2534B022-D446-427A-B1C4-FD61EFBFD6E7}">
  <ds:schemaRefs/>
</ds:datastoreItem>
</file>

<file path=customXml/itemProps30.xml><?xml version="1.0" encoding="utf-8"?>
<ds:datastoreItem xmlns:ds="http://schemas.openxmlformats.org/officeDocument/2006/customXml" ds:itemID="{9DCCADAE-DA99-4CD8-A621-4E19B405A19E}">
  <ds:schemaRefs/>
</ds:datastoreItem>
</file>

<file path=customXml/itemProps31.xml><?xml version="1.0" encoding="utf-8"?>
<ds:datastoreItem xmlns:ds="http://schemas.openxmlformats.org/officeDocument/2006/customXml" ds:itemID="{01803918-4BFF-4F91-9E84-5F8E47E3B1E6}">
  <ds:schemaRefs/>
</ds:datastoreItem>
</file>

<file path=customXml/itemProps32.xml><?xml version="1.0" encoding="utf-8"?>
<ds:datastoreItem xmlns:ds="http://schemas.openxmlformats.org/officeDocument/2006/customXml" ds:itemID="{58D41C33-E137-4D81-81B1-25768FD1CE86}">
  <ds:schemaRefs/>
</ds:datastoreItem>
</file>

<file path=customXml/itemProps33.xml><?xml version="1.0" encoding="utf-8"?>
<ds:datastoreItem xmlns:ds="http://schemas.openxmlformats.org/officeDocument/2006/customXml" ds:itemID="{FACD1CB4-AA6D-4B39-BBD5-356F697A8F8F}">
  <ds:schemaRefs/>
</ds:datastoreItem>
</file>

<file path=customXml/itemProps34.xml><?xml version="1.0" encoding="utf-8"?>
<ds:datastoreItem xmlns:ds="http://schemas.openxmlformats.org/officeDocument/2006/customXml" ds:itemID="{5D928EC7-7CBB-46AE-81C1-32E451B1276D}">
  <ds:schemaRefs/>
</ds:datastoreItem>
</file>

<file path=customXml/itemProps35.xml><?xml version="1.0" encoding="utf-8"?>
<ds:datastoreItem xmlns:ds="http://schemas.openxmlformats.org/officeDocument/2006/customXml" ds:itemID="{CF2D7260-3F64-4679-8C9D-BBA31CCA16BB}">
  <ds:schemaRefs/>
</ds:datastoreItem>
</file>

<file path=customXml/itemProps36.xml><?xml version="1.0" encoding="utf-8"?>
<ds:datastoreItem xmlns:ds="http://schemas.openxmlformats.org/officeDocument/2006/customXml" ds:itemID="{A0BB99ED-6205-4905-B677-88326E6DC44F}">
  <ds:schemaRefs/>
</ds:datastoreItem>
</file>

<file path=customXml/itemProps37.xml><?xml version="1.0" encoding="utf-8"?>
<ds:datastoreItem xmlns:ds="http://schemas.openxmlformats.org/officeDocument/2006/customXml" ds:itemID="{2B372BA4-1799-4BC4-A092-11A790A1577A}">
  <ds:schemaRefs/>
</ds:datastoreItem>
</file>

<file path=customXml/itemProps38.xml><?xml version="1.0" encoding="utf-8"?>
<ds:datastoreItem xmlns:ds="http://schemas.openxmlformats.org/officeDocument/2006/customXml" ds:itemID="{25D5F5D6-4ACB-43E3-9E09-C33CD53B7CBF}">
  <ds:schemaRefs/>
</ds:datastoreItem>
</file>

<file path=customXml/itemProps39.xml><?xml version="1.0" encoding="utf-8"?>
<ds:datastoreItem xmlns:ds="http://schemas.openxmlformats.org/officeDocument/2006/customXml" ds:itemID="{1BF1B0D8-B1BA-4AEC-B71C-05F263374D5B}">
  <ds:schemaRefs/>
</ds:datastoreItem>
</file>

<file path=customXml/itemProps40.xml><?xml version="1.0" encoding="utf-8"?>
<ds:datastoreItem xmlns:ds="http://schemas.openxmlformats.org/officeDocument/2006/customXml" ds:itemID="{4EDBF725-FB90-4FC6-987E-D6C757DBCB3C}">
  <ds:schemaRefs/>
</ds:datastoreItem>
</file>

<file path=customXml/itemProps41.xml><?xml version="1.0" encoding="utf-8"?>
<ds:datastoreItem xmlns:ds="http://schemas.openxmlformats.org/officeDocument/2006/customXml" ds:itemID="{8D173A47-3B8C-4943-971B-872900E4C222}">
  <ds:schemaRefs/>
</ds:datastoreItem>
</file>

<file path=customXml/itemProps42.xml><?xml version="1.0" encoding="utf-8"?>
<ds:datastoreItem xmlns:ds="http://schemas.openxmlformats.org/officeDocument/2006/customXml" ds:itemID="{7B1FD342-5B89-4F5E-A3F9-EEB8CDFE1D69}">
  <ds:schemaRefs/>
</ds:datastoreItem>
</file>

<file path=customXml/itemProps43.xml><?xml version="1.0" encoding="utf-8"?>
<ds:datastoreItem xmlns:ds="http://schemas.openxmlformats.org/officeDocument/2006/customXml" ds:itemID="{5817D970-C1FA-4F5E-A2E8-561FBB23379A}">
  <ds:schemaRefs/>
</ds:datastoreItem>
</file>

<file path=customXml/itemProps44.xml><?xml version="1.0" encoding="utf-8"?>
<ds:datastoreItem xmlns:ds="http://schemas.openxmlformats.org/officeDocument/2006/customXml" ds:itemID="{B98E9CC6-F4D5-4161-8089-2BA0B7E73553}">
  <ds:schemaRefs/>
</ds:datastoreItem>
</file>

<file path=customXml/itemProps45.xml><?xml version="1.0" encoding="utf-8"?>
<ds:datastoreItem xmlns:ds="http://schemas.openxmlformats.org/officeDocument/2006/customXml" ds:itemID="{864EE3C3-9CC9-4FC3-AF00-603FCE2CECB3}">
  <ds:schemaRefs/>
</ds:datastoreItem>
</file>

<file path=customXml/itemProps46.xml><?xml version="1.0" encoding="utf-8"?>
<ds:datastoreItem xmlns:ds="http://schemas.openxmlformats.org/officeDocument/2006/customXml" ds:itemID="{194421E6-0D3A-42EB-81CF-B69E731C9D4F}">
  <ds:schemaRefs/>
</ds:datastoreItem>
</file>

<file path=customXml/itemProps47.xml><?xml version="1.0" encoding="utf-8"?>
<ds:datastoreItem xmlns:ds="http://schemas.openxmlformats.org/officeDocument/2006/customXml" ds:itemID="{F9F20F36-5E3C-4C59-ACA4-33A6975397AC}">
  <ds:schemaRefs/>
</ds:datastoreItem>
</file>

<file path=customXml/itemProps48.xml><?xml version="1.0" encoding="utf-8"?>
<ds:datastoreItem xmlns:ds="http://schemas.openxmlformats.org/officeDocument/2006/customXml" ds:itemID="{7D4AB0DD-5A32-4D7D-9D1D-7EFB59AFFE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Entry Form</vt:lpstr>
      <vt:lpstr>Products</vt:lpstr>
      <vt:lpstr>Purchases</vt:lpstr>
      <vt:lpstr>Sales</vt:lpstr>
      <vt:lpstr>Inventory</vt:lpstr>
      <vt:lpstr>Customers</vt:lpstr>
      <vt:lpstr>Vendors</vt:lpstr>
      <vt:lpstr>pivottable</vt:lpstr>
      <vt:lpstr>Helper 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2026-02-24T13:14:02Z</dcterms:created>
  <dcterms:modified xsi:type="dcterms:W3CDTF">2026-03-24T19:43:00Z</dcterms:modified>
</cp:coreProperties>
</file>